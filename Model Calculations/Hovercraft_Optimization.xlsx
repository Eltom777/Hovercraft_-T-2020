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hom\Desktop\"/>
    </mc:Choice>
  </mc:AlternateContent>
  <xr:revisionPtr revIDLastSave="0" documentId="13_ncr:1_{FD108611-8832-4429-8D60-32BEB08A06FA}" xr6:coauthVersionLast="44" xr6:coauthVersionMax="44" xr10:uidLastSave="{00000000-0000-0000-0000-000000000000}"/>
  <bookViews>
    <workbookView xWindow="-435" yWindow="2520" windowWidth="19425" windowHeight="11640" xr2:uid="{EF42A738-F231-47D8-AFDF-FBC5B42153B9}"/>
  </bookViews>
  <sheets>
    <sheet name="Sheet1" sheetId="1" r:id="rId1"/>
  </sheets>
  <definedNames>
    <definedName name="solver_adj" localSheetId="0" hidden="1">Sheet1!$G$3:$I$3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Sheet1!$J$10</definedName>
    <definedName name="solver_lhs2" localSheetId="0" hidden="1">Sheet1!$J$7</definedName>
    <definedName name="solver_lhs3" localSheetId="0" hidden="1">Sheet1!$J$8:$J$9</definedName>
    <definedName name="solver_lhs4" localSheetId="0" hidden="1">Sheet1!$J$8:$J$9</definedName>
    <definedName name="solver_lhs5" localSheetId="0" hidden="1">Sheet1!$J$8:$J$9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Sheet1!$L$10</definedName>
    <definedName name="solver_rhs2" localSheetId="0" hidden="1">Sheet1!$L$7</definedName>
    <definedName name="solver_rhs3" localSheetId="0" hidden="1">Sheet1!$L$8:$L$9</definedName>
    <definedName name="solver_rhs4" localSheetId="0" hidden="1">Sheet1!$L$8:$L$9</definedName>
    <definedName name="solver_rhs5" localSheetId="0" hidden="1">Sheet1!$L$8:$L$9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 l="1"/>
  <c r="C5" i="1" s="1"/>
  <c r="G7" i="1"/>
  <c r="H7" i="1"/>
  <c r="L7" i="1" l="1"/>
  <c r="H10" i="1"/>
  <c r="J10" i="1" s="1"/>
  <c r="G15" i="1"/>
  <c r="I9" i="1"/>
  <c r="H9" i="1"/>
  <c r="G8" i="1"/>
  <c r="J8" i="1" s="1"/>
  <c r="J7" i="1" l="1"/>
  <c r="J9" i="1"/>
</calcChain>
</file>

<file path=xl/sharedStrings.xml><?xml version="1.0" encoding="utf-8"?>
<sst xmlns="http://schemas.openxmlformats.org/spreadsheetml/2006/main" count="17" uniqueCount="15">
  <si>
    <t>Dimesion of U-Shaped Hovercraft</t>
  </si>
  <si>
    <t>Optimization:</t>
  </si>
  <si>
    <t>a</t>
  </si>
  <si>
    <t>b</t>
  </si>
  <si>
    <t>c</t>
  </si>
  <si>
    <t>weight:</t>
  </si>
  <si>
    <t xml:space="preserve"> Pressure:</t>
  </si>
  <si>
    <t>Desired Area:</t>
  </si>
  <si>
    <t>Constraints:</t>
  </si>
  <si>
    <t>&gt;=</t>
  </si>
  <si>
    <t>&lt;=</t>
  </si>
  <si>
    <t>Opt Area:</t>
  </si>
  <si>
    <t>Area = (pi/2 * a*b) + (2*a*c)</t>
  </si>
  <si>
    <t>meters</t>
  </si>
  <si>
    <t>A = W/P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</si>
</sst>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114300</xdr:rowOff>
    </xdr:to>
    <xdr:sp macro="" textlink="">
      <xdr:nvSpPr>
        <xdr:cNvPr id="1025" name="AutoShape 1" descr="data:image/png;base64,iVBORw0KGgoAAAANSUhEUgAAAKwAAAD7CAYAAAD3un+XAAAgAElEQVR4Xu2dCbQUxdWA7wPZEVBURMUIsgoBARNRFMGo0bgEVMCcKKh/TNQkGo1ijHo0UZNoEpMYE7csf35AcQsuuJsQFRdQ3JBdEEGQRRR5wnu+9T9faZF582a6q99Uz/TMu33OOy7TXVVd9dXtW/fWvVVWX19fL2lXZWWllJWVSZs2bdJ/avDf1dXVstNOO5l7g67a2lpp0aJF6H01NTXSsmXL0Ps+++wzc0+rVq0C76Ve7qPuoKuurs78HHafa3lVVVVCma1btw4sk3voft7ZR/tcy6OfaWO7du0C+4+28c6McdDFfdQd9h7cR92MW1h5n376qXTs2LFR+8oUWDGdrcA2RkiBDZHEKmEzyx3XCaUSVlWCBgSpSpB5QqlKECKJVYfNLolddGLVYXXR1YAgXXRll8S66AqYLK6fcFcd0bU8BVaBbdADqhI0Y5Wgurq6gR0WuyV2WK62bdsaO2G2y3VV79MOS/sAlsvFDuti//UpYWkf9mnKDGuf66retX1RyqMPGd8gG3qUxZSrHdbFrsvYYoft0KFDYztsXV1d7MACNuCEGeZdJkAcwNpPPWUHDaCrSpAKbNA7uwAGNPYvzDBPefyFGfp5DwtsUPtcgXWtl/uo28VxsG3btszA5stx4OJxcgGW2edbJXAF0fW+OHRYl9W/ywSg/6yVAAkbBqyLRHStVz1d6pptoK25gqNmLTVrqVlL9xJk3x7hWyVwXdQUUiVw2eugElZds+qa1d1a2SVnoRZdKmGzG/pdFl2u1gRddOmiSxdd9IBu4A7cXxz6o6vEDi3oixtcy2sWOmxVVVUjV5b1JIVFHLh+wn16uhhD7JxxeLowzFvPmHUg8BmrqKiQ8vJy+eSTT8w/P/roI9m0aZN8+OGHsmXLFtm6datg6KZdvGuqd9BGRmDzZAd9586dZdddd5XddtvN/O2yyy7SqVMn2Xnnnc3vRCnYyxrkLYhhjhfXTzNtxLnB+IZ5unyrBC7l8f70Z/v27aNFHNB5QS/ES9uQlqD7rKcrzJPkOgHsFwCPSdAgunrYLGB0JnCuW7dOli5dKkuWLJH333/fgAmkuAt5BwADNOCzoBFuQn/hZXr77bdl48aN8uUvf1m6du1q4EAIbN++3ZQB4ID+8ccfm/p4jy5duhiQu3XrJj179pQBAwbI/vvvb/6fHYewUCRXj5NPx4H1woV52Ox9rp4uDZHJ8P2lE9evX28A42/RokXy7rvvGvcm0g949t57b9l3332lR48esueee+6QgoBp3c2pExHJ8Ic//EFeeOEFueCCC+TYY4/d4VqlCVZaMnBIZCYf8K5du1ZWr15t/mjThg0bDNhMjP79+8sBBxwggwcPlj59+pg2ZLqahUqQL9esyyYUVwmbix2Wz/ry5ctl3rx5MnfuXCMJkWCAiUQEjO7duxtQ+IzzBbF/6epCJmj+/e9/y89//nOZP3++nHfeeXLppZfK7rvvnhEwK9mtZARi+7lGwmzevFlWrVolb775pixbtsz8N23p16+fjBw5UoYOHWomkt07oMAWuR3WUgKkCxYsEGB66623jB663377yVe+8hUD6Je+9CXzaefTzOC7qDmZCERS3nTTTXLzzTcb6fjVr35VrrrqKjn++ONd11c77rP6qAWYSQqwgPv666/LG2+8Yd6DiXbYYYfJEUccYeBN1YGzVaqu2QS6ZtEb0UGffPJJefnll43+OHDgQDnkkEPkwAMPNLolgwukLqHlLsT961//MtL1+eefN2oA2+POPfdcmTJliuyxxx4uRQTegwQFNt4N1QP1gS8Ff+jd6LxHHnmk+eP9FNi0HkhiXgKkKfrjww8/LO+9956RpGPGjJHhw4cbvZTPfNhirSlkWen6xz/+0eikXOi2Bx98sJGy3/jGN5pSbNZnbAg2ejCTEd37ueeek5deesks8FAZTjjhBDNJ0xdrKmETIGFZqDz11FPy6KOP7hiw0aNHmxW3NReFmYVyIWr27NlGuj777LM7JDafcyYIuuxll12WVZfNpV77LBACKpYH1AX6YsWKFdK3b1+ZMGGCHHTQQTv2oSqwBQDWLoQwOT300EPm0w8cRx11lBx++OHmE2wXTWHmoFyBweT161//WmbMmGEkKmYvzFWYvVh8MVFYfH3zm98MzWqTa1uQvEhd9FsWl/TLq6++ar40gDtixAgzobjHJeLAxW7qav+NzTVrV+FhCrzrqt7VceB6H7ocn93HH39cZs6caQzMLGwYDEDFIB6nNE2FikFAos2ZM8csemjD008/bWA56aSTTNuQukB83HHHGbtqPi6rMqAuoBrNmjXLqEqYxU477TRjIsN2HHRFATGOEJlM5ruy7du3Z/R0IZXyDWzYBEAy0DEAMH36dCPFTjzxRLNCzjeoqQONLRWJxUTBynDvvffK4sWLjUTDAcDvDD4SLSx8JQ6YEQQs0lARmOBIfSwkkyZNMhYS1iKZYvdcHRFRwHaR2PRBVk9XMbhmbXgNkuKOO+4wJiogBVaM+mGhHnFAkK1MBhnVAGAnTpwogwYNymf1gXUhEPgyYdq777775IMPPjBtRFWhD4Ep/evhAlhegc3mOKDhYb7mOFyzmYIV6TQ+adOmTTPeJwsCn9mwwLx805JkYOkL4GLcWKRil6Zf0W9ZGGIWS71cJKy6ZtPSbdKxf//73+WVV14xOuAxxxwje+21V2jkZb5BtfUlHdjUdqLfYqu+6667jGt48uTJxpVs9X+rB4epMVEkbElnfsG3/5vf/MborWeddZZxRaKI52tB1RToiwXYVHMYTgcWsI888ogRCN/5znfMYlGBjZBuk5X2X//6V2P4Hj9+vPTq1St0EdgUwHw/U2zA8v60GVcyHjOkLWrXj370I7PZx7cOW1IS1m7eoNNYuOCpwTRExyVNVy3GRVeYCQtzJl+1v/zlL8aOe/nllxsrR5gdu9mqBJiG/va3v5mFALZC9CnslklWAdIhKEYJm/oOLMiwITMOWGWAdtiwYd7stSUjYfn03H777cbofsYZZ5gNHHiKwma37096ruUVO7C8P2PB3gRs3Ujcn/70pzJkyJCsXdPsJCwvjL6KZGVxxWYVtvslCdbPPv1IVixbJms2lUvXfXpJn577Suf2jQ+XKAVgLbTsBps6daosXLhQrr76arMVM9OVV2DTsxfSIBvT5RoiE/bJDgpVQTfFM/SPf/zDwPr1r389cbB+/N4Cue/+mbJg1WZp3apONn5cJcNGnygTxx4te3VueNJOqQCbKmnvvPNOs5Xxl7/8pfGMpTsYXOy1dnHnGiKTNRlcevbCVGDzEYTIrv8bbrjBLK7wuLDTP0mSVaRW3nzmAXnhnXLpN2ykDOzRVp64/3/l7S0dZdzEyTKyb8NoglIC1kLLpvE//elPxpHEjjRMXukesTj2EmRMt1nIEBnCP9gryl5VFlmYU5IFq/ENydYNK+XVV+bLkhWr5cOPPpQ3Xpsn7XqPknPPPV8O79dwY3apAUsPsBDDnQu06LI/+MEPGlht8qoSFApYLAJXXnml2Rjywx/+0LgFw1SLXBdETXq+brs89+B0eXLuCul+wHAZ3HdveWvOo7KichcZN36SjOpf+sDSb2w0YtMR0DJeOBjs1SyAxc764IMPykUXXWTMJmFJbpsEm4+HqjfLtN/dKPM3tpfjJpwm+7ffLHffeYssre8pZ593gYwZ0K1BLaUoYc13pr7ehLqz3mArJWrcPvvsY9695IFFFfjxj38sY8eONXorm1gSe9VXy6IXn5AZ9z8qKz6slX3221vaVX4on7TZV447ebwcM6xnswDWLppWrlwpv/3tbw2smLtQ4Uoe2GuvvdYkp8D9x06h5OmtDadPdeU22bxpk2z5tFJat+8gHdq0lJr6ltKxU2fp3KFtwYH9715WUt7HO/WxIBFkSewa6w9Cb0oaWGLssel9//vfN6Es7MMsiosDgOvrzeSyUkWkMSD5VwlqZPni1+XZuQtk0KhxMqLXLrF2J3CS5OO2224ze2vZnGQ31oe5z2MLkYkrGRwNZlYyqCjuJKxIunSNOvr5B7Za5r/8jNw7a44cNuEiOXHwblGbHPl+rAbEiaHHEqt26KGHluZp3uy9JHqUhRZhyGEhOJF7MgEPFArYu+5/VPYZOEp23rZOZNeeMnrMGOndPb61ARlzbr31VpMr7PrrrzehP2FWHi8StqamJuuxRy6OA5fjjKx3A2WdDRUklkBpLzXpahcm+Q2RqZbXXnxSfnfTrVLfdYiMPHBP2bh2jZS36SH/c945MmC34EDDps5xzJI4fW688Ub51a9+ZXZ1ZYoLSy2fyZyzp6u2trYRsCjWNmguqBGuUa40Gn2HMIxTTjnFRLjixSiVi1wA9BObdZjAAMumERvKgxTCjsnm87BI1eh9Ui2vvviU3PF/D8mAo8+UM0b3lTUL58msWU9J91Fny/+cMFjiWIfxvkQpIF3Zs4wzASCDLtcN4ZTRpHSbYRLWxnSFfQpoACtL8k794he/MMnMXJ6JPnj5f4JBYHMIG3fYsEMYD6mR2KLHxGTyP/PMM2YDOmY87vF7VclrLz8jDzw2R4447WI55oDdZNO7r8kj90yXDZ2OkinnHyct/Va4ozT2zGKXJeMM6kG6yza92igStqDpNmk4oJJG6OKLLzYu2FK6eK8///nPJkiS3AQMHJMZaYrdkvcl9SZJPsJW0tH75XMJO3XmbDn01Atl4sE95P2F8+SBaXdL7cBT5aLTR8YiYWknm5rIycD+AjbGIGnDJGxR7IdF3znnnHPMtkFUAv9SJvow+3wCKcsX5Gc/+5lJVmHPmOX/85Xi3XGUkNvL/1Utrzz/mNxw4+3SvveR8q1j+smqBfNl4fp6+dZ5F8rIPvEm7mAX1xVXXGEcQKeeemppAMtCC8l64YUXmswopWgdQEcnzSZ/pMW0F9YQTHlHH310TGpQjSxfNF8emfWkVLfcRerLN0htx73lkNFHyoghfaR9qxb+50hKiTiA2F/AhX29JCTsiy++aHJPsaLs3bt3SVoHkKbocnjxSLvJxSKMhWa6dAVudFxUB/T5sDDqYOLq5bPK7bJ1a7nUSwupqqyQstbtTWhRu9a5a68sFkmfz1eSqOX0PR/omja3GXuaw85MKAqVgPQ4999/vzF/oOOV6gWIt9xyi0kZj+Qh0TA70qx0RdclMvWBBx4wVgU2rJM8LsnmPRaNLCIRNmQoR6Ujv64Fl9//85//GB3+nnvuCfRcerHD5mN7IemF2E+JroN3q1QvK2Vtynjcz6hCSFBAZXcaui5S6dvf/rb5jQ3rSb54J1Q6vhxIUtKXEhw6btw4Ay6mTev1wl1LhHO2q2iAxd+MdGGlnC3ff5IHLUrbiO9HygLo6aefbtQCQGVLHgsUYCUvGHrtqFGjEi1d7XsjRdkLe/bZZ5sUR6gbmOnYE0ukCCZKvp7XXXedyUcbK7BBMV1hdtiwbIO24YQKM4AkRiuazS5RKE25l8/7O++8YzaIoKNynteaNWtMogrskAwug410ynYaTBOrjvUx2s/Xgffh4qvBUU2oeHw1UYHwZLLITI/5sg2L4jhgYmcMkckU02U3v/gKQsQLwnlXbJIIMy7H2ut5KBxgOUKJzIDYYfl3Fi1Mbi7ssGxYJ4ydfcBh7sw8NDm0Ct6Jzdv//Oc/Tfi3veADIcRiDOcJqhD6erZ3KhrHAcDyaTzzzDPNrCzlC5ciOrtVCTjl5YknnpDHHnvMSF6kDxMXywH/LIYLCwGWHnRyTHZ8eYntwvYKoKgMOIZ4p6997WvxqgT5WHSxBQ1pcv755weeblIMgxfWRhwHLFDsOV2Ytaz71oKLtPrud78rl1xyiZnISb/4OmJjZY8EuQlwMaO/sgBDAGGiQ+1jnFEJYtVh8wEsL4vOU+rAsrDEiP773//eSCLMWiyucMkipdDz+HSSKZBUl1gKGOAk76tAPWTBiEOEc8d4FwJGOVaJdvPFYNvoNddcE5rWqGisBOg2vBzSJuj8qKRLmrD2sShhpcxmF/Q1pA+TFPOVfW/AZeHCahvpipTyv78grKXuv/O5R29l0UVbsRCkttcCi1uaGC8Wk0UvYZsDsEhX6zSwK2kmaaqUTR1IFmFAbfcduCOU3ztpoz2PLdPEUmDzOx7earO6K9LVnskAlFZ3T5Wy3ipNQEEKbAIGIWoT2MBNFCl5bdkbgOkO3Q9Y2cjNP1lg4SFKshs26ntzfyKA9X1OVymrBNYCgGTFEcBuNI7PRO/D5MOF6xIDO5u7i8EqEAXcqMC6ZPSmfruBO70tZRUVFY3O6WJhwBW2DdDF04VEIYwCXa1UrQTor+y+Z58v0Kae04XExYyFLsiCJcx7GAWWJNybaiXgK8KiK5vjIIqnCysKjpf0L1JZ0DldvjxdrJybg1kLgPIfNVtYbFOBJbg0yEoQxdMVKd2ma14CFwlLd6ISsMIsdbNWcwYWsxbOgzCzlqtKwBeLr1UjCZsPx0Ep67Dp8q25Sli1wxb2S9fk2hVYdRw0GZ5CPKjAKrCF4K7JdSqwCmyT4SnEgwqsAlsI7ppcpwKrwDYZnkI8qMDGDGx69kIGOWqIjE3ymwkQfsOsheNA7bCFmELx1pnqOPjJT35iwmUyebr4f9bTFXaeBfdldRykZy/k9ezBcmFuRBfHgQVWHQfxglOo0lOBtfthfbhmswYhquPA71CrShCzSqDAKrC59EDU3VpFkapIXbO5IJHsZxXYZI9PaOtUJVCVIBSSJN2gwCqwSeIxtC0KrAIbCkmSblBgYwY2PbcWdlMcB1wkbgvK/RTFDtsc8hLQZwqsnxCZrHbYoHO6fACLw4DNvQBbqjFdqRK+OQOLp4tEd0HZC13MWvRnk7IXhnm67LFHYa5ZgFVPV5IUF39tSTVrESLjyzVb0GOP1A7rD5CklaR22KSNSMT2NGeVQHNrRYQlCbcrsDFbCXQvgV/MFVgF1i9RMZemwCqwMSPmt3gFVoH1S1TMpSmwCmzMiPktXoGNGdhMMV2uITI2M3NQzlN+45AKdRz4nRhJKS39jAMcB0zaTFeUMw5iielyBVaTwSUFL//tyARsUExXzq5ZNWv5HURVCWJWCRRYBTaXHlDXbC69l4BnVcKqhE0Ahu5NUGAVWHdaEnCnAqvAJgBD9yYosAqsOy0JuFOBLQCwek5X08lXYIOBdT2UI+s5XZWVlRnP6cJDFZZljsrDDvZNPadLsxc2fSIk9clMxx5l83TxDi7McB/ndHGiZPpVlg1YbvR9sJwCm1Tsmt6uKMBGOVgO1yzANjr2KD3Mm6a75ofFzUY0LH9Bl7pmmw5E0p9MD0IMO1gO6Uuu4KALsDUIMU8jrzpsARZdrichumx+gRONms3TbClANeqaLUCn+6xSJaxKWJ88xV6WAqvAxg6ZzwoUWAXWJ0+xl6XAKrCxQ+azAgU2ZmCzZS/EYEsyOB/pNjWmy+eUSFZZUWO6orhmO3To0NhxkOmcrihmLVyzYY4DBTZZkPlsTZSYLr4+3B/m8lfHgc8RCilLVYKYVQKN6fJLswKrwPolKubSFFgFNmbE/BavwCqwfomKuTQFVoGNGTG/xSuwCqxfomIuTYGNGdhMG7hdk8HpOV2N6W/OwAadIkNPRYk4yBrTlc1xQAWc0xV0uRx7hFNBz+mKWawXsPjU/bD2nK5MMV3AaoHNyXGQCVifElaBHVRAnOKv2hVYK2FdshcCdtZ0m+o48DuozVkl0GOP/LKUl9IU2JgXXSph/XKswCqwfomKuTQFVoGNGTG/xSuwCqxfomIuTYFVYGNGzG/xCqwC65eomEtTYGMGNpcQGZfcWsSGaW6tmGdJAYuPGiLjmlsrq+MgKAjRV/ZCjekqIFExV533IES1w/odUVUJYlYJFFgFNpce0GRwufReAp51lrD1tbJt6xbZvOVTadW+k3TdpYu03qksAW8QrQkKbLT+StzdLsDW11bK2hULZe6812T15u3SusOuMmDwcDloSD/p1KZl4t4pqEEKbFENV+PGugC7Zc0imfXQTHlrXaX07d9HPl63Rip36irHnzJehvXsWlQ9oMAW1XA1Bdg6eevZh+XeJ+bJ/kecKpOOHSob310iS1eslT16D5ED9tu9qHpAgS2q4WoKsDUy5/H75JGX3pERJ50p4w7qIXU1n0lFRaXUt2wjHdsHR3kkrXsSAazPiAM6WFPGp2JWJ4teeFzuffwF2WPosfKto4fKJ2uWyqKVH8gefYbK8P77SDEtvaICm3MyuKqqqozndNHFvhwH1113nTk5RI89+hzc8g3vyNOPPSKvryqXfXv1lG0b1sp26SxjThonI/rvWZTAXnPNNXLZZZcJp8hky3gZJQjRerrSvyhlFRUVjYD1eRKiPVgO+BVY2/21smnNcpn30lxZ8v5mad+luxw4/GA5cGAvaRd8IlDSNAKTjXDJkiVy9dVXy6WXXuoVWO/ndNmo2bB0m7qXIDNndbU1Ul1TI2UtdpLWrYqM1C9eKeo5XZpuM2Eyx8WslbAm59ScqDqsa9SsHiyX07C4P6zA6l4Cd1oScKcCq8AmAEP3JiiwCqw7LQm4U4FVYBOAoXsTFFgF1p2WBNypwMYMbHpMF4Z+jj3i4pyuoCtKuk2OR1LHQQJmlOcmRInpiuLpwqyV8Zyu9Jgu3ifKXgKcBkGOAyaAxnR5piRBxaUCS7rNoUOHZnXN8vXJOQhRQ2T8jr6qBDGrBAqsAptLD6inK5feS8CzKmFVwiYAQ/cmKLAKrDstCbhTgVVgE4ChexMUWAXWnZYE3KnAFhBYogSwo2a7omzgxlarjoMEzCjPTYhiJWAy57yBO1/HHqmnyzMpCSkujmOPeDVnT1eqa5aD5bIFlFGoi2sWUPVguYTQFUMzMgHL/8t0eXHNquPA7yiqDltAHTZs8ws6LOHbQXouOGheAr+TIkmlRdFhkbAa05Wk0RMxmztmzJghixcvlokTJ8qgQc3n6E49CTFhMLo0R4FVlcCFk8Tco8AqsImB0aUhCqwC68JJYu5RYBMOLHZWl1RF6ulKzJzy2pAoVoJYPF3WccA/MWvl6jjQc7qah5WA7IXWSpBr9kKez3pOV3V1dYPshVGAZXYhOYPssPyOHVbTbXoVbIkpDAYw4eHNtDFdSNJsni5+46scdmV1zaqnK6zrov2uOmzCdVj1dDUEWoFVYKOJuALfrcAqsAVGMFr1CqwCG42YAt+twCqwBUYwWvUKrAIbjZgC363AJhhYl4gD+NH9sAWeRTFWH8XT5RpxEOg4yJYMDmdAq1atAp0CrsByTpfGdMVITQGLTs9eOGTIkKytiQLs9u3bTfbC9Kts27ZtTT5YztXTdf311xs3r0bNFpCsmKpOPafrkksuMed0+fB0ASzndDUCtq6urhGw5Ie1ewmC3tNVwuo5XTHRkoBio5zT5SpheS11zeZpcHXRleBFlwYhNp4FCqwCmyfZ6KcaBVaB9UNSnkpRYBXYPKHmpxoFVoH1Q1KeSlFgCwisZi+MTrkCmx3YWGK6GKIoxx7hwQoKkdGYruYR00WIzOWXX24cB7nGdAXaYXOJ6XJxHNhzujSmK7q0LoYnosZ0cT8shF3qOAjrIU+/q0pQQB1WsxdGp1iBVWCjU1PAJxRYBbaA+EWvWoFVYKNTU8AnFFgFtoD4Ra9agVVgo1NTwCcU2IQDq9kLG84OBTbPnq7UY4/CzFoujgOSwemxRwUU+TFXnR5xMHTo0MAQmSiOg44dOzZqfVm2IETudAEWIIPyw+o5Xc3DNUu6TVyzw4YNM6cdZrqi7CXImm5Tsxf6FUGqEiRch9XsharDLlmyxKh9euyRX+GXl9JUwqqEzQtovipRYBVYXyzlpRwFVoHNC2i+KlFgFVhfLOWlHAU24cCqp0utBK5Wgih2WCIOcBykh1+V1dbWZj32iCDEoMvF02VDZPRgubwI+LxXkndPV3pMF28cJQgxzNPVHGK6mLgE3tnzp9KPn+d3pAs267BTI/NOXI4VRonpog9sPwRVG5gfVj1duY0Ynbtq1SpZv369dOvWTbp37y4PPvigOWztlFNOkZ49e8rKlSuFPGT9+vWTTp065VZhwp6OmtCYyUve4TBgs6oECmzuBCxbtkxuvvlmWbt2rYF006ZNsm7dOmEjyNKlS2XevHkybtw4mTRpkrRt2zb3ChNUggKboMFwbQpSdtq0aUKm8Y0bN0rnzp0F/Z8NHJs3b5axY8fKVVddJQMHDnQtsmjuU2CLZqgaNpTPPsBOnz5dqqqqdvyISsAuprPOOsspHr/YXl+BLbYR+6K9LCaAlfT4qAFcLLLGjx9vpOuAAQOK9M2Cm63AFvGwImUBdurUqWaRVerSlaFSYIsYWAbv7rvvNtAuX75cJkyYUNLSteSB/d73viddu3YtYiTDm2512Tlz5siUKVNk8uTJoWac8FKTeweqEFYSIg7ysh82l1NkXM84uPbaa40z4uSTTzYr6FK+kLIzZ840eizWgUGDBmXN5lfIfsCyEZR10rVtALt69Wq57bbb5IorrjDZC7Nd1Olqh80aIlNeXp7xnC57sFxQw6k8LBMd5dx6660ye/ZsUxT/nS0do0sn5fq8Sx253IMni2OjABebK/+dy/vm0pZMz1pIAc0HsHY84ODKK680prts53TRHhdmuK+iokLatWvX6BXKcpGwLnsJGCxmIJ6LsIFzOaiODkJa88+w8ByX8ugRO3hhA2gHIsy9Sr3WVRtUpmt5lMVfWL3cQ5nWRZwNdu7B9EaQaVD7XMvjPsYCL1+XLl0CJaxr1Gx5eXnmzS/58HT5lhKoIi67xHzX61oeE5kr7OvjWp7v+4CGNoZFRfuuN4pKUFDXrKukc5HYdKKVsGFn4VIvEiRMMrlKOtfykF6UibcrqG7uSd00EyQR+c3lPVzKo59pI5/cMAnrIhGjSGJXHVaBDRAXCmzmznE9ascfGjkAAAGQSURBVFOBLSsL/BqphM3cPa4SWyVsCGCqEuQGmOsXQIFt0yZQ0rnaYRVYBZYeKKpFl8vip1CLLtfFlOt9cSy6XBZTUSWstRNnk0quOqxrvV6AzcUO62peAsSwUBprVA4794v7MMxbx0bQytm1XgsiZQatmgsBrLXBugLrEoJidVifwLrU6yUIsaqqKmsQIna6IGO/66fe1TDvUl4hHQcuwNI+JjLvHGZ2iyKZku448Nk+hFJBz+lyATGKhFUrQW46sVoJ1ErQgKA4dFh1HHzexWX5cM2qhM1NIqpZ67/9p8B+sfnFRYK56LCUoxI2u+dMXbMB6ogrYK4SzLU8BVaBbdADuujKTcXQRZcuunTR5bAP14vjQBddn0d+unjiXO+LQyVwdRy43OfbcZDX3Vq5errCdv0jelwHWl2zuX3qXR0RvoF1rdeLhE3PXph6sByuuyBPlytgPs1a1tPF0IZ5klzr9bnoon1WwtK+JG7gpl9oI+MbtoHbJeTGt4RVT1eLFoG7znwCq2at7F3tQ8L+P8WLdxI//otsAAAAAElFTkSuQmCC">
          <a:extLst>
            <a:ext uri="{FF2B5EF4-FFF2-40B4-BE49-F238E27FC236}">
              <a16:creationId xmlns:a16="http://schemas.microsoft.com/office/drawing/2014/main" id="{EBEC90B8-ABC0-45CC-9733-8DFDD82EEE6B}"/>
            </a:ext>
          </a:extLst>
        </xdr:cNvPr>
        <xdr:cNvSpPr>
          <a:spLocks noChangeAspect="1" noChangeArrowheads="1"/>
        </xdr:cNvSpPr>
      </xdr:nvSpPr>
      <xdr:spPr bwMode="auto">
        <a:xfrm>
          <a:off x="39052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114300</xdr:rowOff>
    </xdr:to>
    <xdr:sp macro="" textlink="">
      <xdr:nvSpPr>
        <xdr:cNvPr id="1026" name="AutoShape 2" descr="data:image/png;base64,iVBORw0KGgoAAAANSUhEUgAAAKwAAAD7CAYAAAD3un+XAAAgAElEQVR4Xu2dCbQUxdWA7wPZEVBURMUIsgoBARNRFMGo0bgEVMCcKKh/TNQkGo1ijHo0UZNoEpMYE7csf35AcQsuuJsQFRdQ3JBdEEGQRRR5wnu+9T9faZF582a6q99Uz/TMu33OOy7TXVVd9dXtW/fWvVVWX19fL2lXZWWllJWVSZs2bdJ/avDf1dXVstNOO5l7g67a2lpp0aJF6H01NTXSsmXL0Ps+++wzc0+rVq0C76Ve7qPuoKuurs78HHafa3lVVVVCma1btw4sk3voft7ZR/tcy6OfaWO7du0C+4+28c6McdDFfdQd9h7cR92MW1h5n376qXTs2LFR+8oUWDGdrcA2RkiBDZHEKmEzyx3XCaUSVlWCBgSpSpB5QqlKECKJVYfNLolddGLVYXXR1YAgXXRll8S66AqYLK6fcFcd0bU8BVaBbdADqhI0Y5Wgurq6gR0WuyV2WK62bdsaO2G2y3VV79MOS/sAlsvFDuti//UpYWkf9mnKDGuf66retX1RyqMPGd8gG3qUxZSrHdbFrsvYYoft0KFDYztsXV1d7MACNuCEGeZdJkAcwNpPPWUHDaCrSpAKbNA7uwAGNPYvzDBPefyFGfp5DwtsUPtcgXWtl/uo28VxsG3btszA5stx4OJxcgGW2edbJXAF0fW+OHRYl9W/ywSg/6yVAAkbBqyLRHStVz1d6pptoK25gqNmLTVrqVlL9xJk3x7hWyVwXdQUUiVw2eugElZds+qa1d1a2SVnoRZdKmGzG/pdFl2u1gRddOmiSxdd9IBu4A7cXxz6o6vEDi3oixtcy2sWOmxVVVUjV5b1JIVFHLh+wn16uhhD7JxxeLowzFvPmHUg8BmrqKiQ8vJy+eSTT8w/P/roI9m0aZN8+OGHsmXLFtm6datg6KZdvGuqd9BGRmDzZAd9586dZdddd5XddtvN/O2yyy7SqVMn2Xnnnc3vRCnYyxrkLYhhjhfXTzNtxLnB+IZ5unyrBC7l8f70Z/v27aNFHNB5QS/ES9uQlqD7rKcrzJPkOgHsFwCPSdAgunrYLGB0JnCuW7dOli5dKkuWLJH333/fgAmkuAt5BwADNOCzoBFuQn/hZXr77bdl48aN8uUvf1m6du1q4EAIbN++3ZQB4ID+8ccfm/p4jy5duhiQu3XrJj179pQBAwbI/vvvb/6fHYewUCRXj5NPx4H1woV52Ox9rp4uDZHJ8P2lE9evX28A42/RokXy7rvvGvcm0g949t57b9l3332lR48esueee+6QgoBp3c2pExHJ8Ic//EFeeOEFueCCC+TYY4/d4VqlCVZaMnBIZCYf8K5du1ZWr15t/mjThg0bDNhMjP79+8sBBxwggwcPlj59+pg2ZLqahUqQL9esyyYUVwmbix2Wz/ry5ctl3rx5MnfuXCMJkWCAiUQEjO7duxtQ+IzzBbF/6epCJmj+/e9/y89//nOZP3++nHfeeXLppZfK7rvvnhEwK9mtZARi+7lGwmzevFlWrVolb775pixbtsz8N23p16+fjBw5UoYOHWomkt07oMAWuR3WUgKkCxYsEGB66623jB663377yVe+8hUD6Je+9CXzaefTzOC7qDmZCERS3nTTTXLzzTcb6fjVr35VrrrqKjn++ONd11c77rP6qAWYSQqwgPv666/LG2+8Yd6DiXbYYYfJEUccYeBN1YGzVaqu2QS6ZtEb0UGffPJJefnll43+OHDgQDnkkEPkwAMPNLolgwukLqHlLsT961//MtL1+eefN2oA2+POPfdcmTJliuyxxx4uRQTegwQFNt4N1QP1gS8Ff+jd6LxHHnmk+eP9FNi0HkhiXgKkKfrjww8/LO+9956RpGPGjJHhw4cbvZTPfNhirSlkWen6xz/+0eikXOi2Bx98sJGy3/jGN5pSbNZnbAg2ejCTEd37ueeek5deesks8FAZTjjhBDNJ0xdrKmETIGFZqDz11FPy6KOP7hiw0aNHmxW3NReFmYVyIWr27NlGuj777LM7JDafcyYIuuxll12WVZfNpV77LBACKpYH1AX6YsWKFdK3b1+ZMGGCHHTQQTv2oSqwBQDWLoQwOT300EPm0w8cRx11lBx++OHmE2wXTWHmoFyBweT161//WmbMmGEkKmYvzFWYvVh8MVFYfH3zm98MzWqTa1uQvEhd9FsWl/TLq6++ar40gDtixAgzobjHJeLAxW7qav+NzTVrV+FhCrzrqt7VceB6H7ocn93HH39cZs6caQzMLGwYDEDFIB6nNE2FikFAos2ZM8csemjD008/bWA56aSTTNuQukB83HHHGbtqPi6rMqAuoBrNmjXLqEqYxU477TRjIsN2HHRFATGOEJlM5ruy7du3Z/R0IZXyDWzYBEAy0DEAMH36dCPFTjzxRLNCzjeoqQONLRWJxUTBynDvvffK4sWLjUTDAcDvDD4SLSx8JQ6YEQQs0lARmOBIfSwkkyZNMhYS1iKZYvdcHRFRwHaR2PRBVk9XMbhmbXgNkuKOO+4wJiogBVaM+mGhHnFAkK1MBhnVAGAnTpwogwYNymf1gXUhEPgyYdq777775IMPPjBtRFWhD4Ep/evhAlhegc3mOKDhYb7mOFyzmYIV6TQ+adOmTTPeJwsCn9mwwLx805JkYOkL4GLcWKRil6Zf0W9ZGGIWS71cJKy6ZtPSbdKxf//73+WVV14xOuAxxxwje+21V2jkZb5BtfUlHdjUdqLfYqu+6667jGt48uTJxpVs9X+rB4epMVEkbElnfsG3/5vf/MborWeddZZxRaKI52tB1RToiwXYVHMYTgcWsI888ogRCN/5znfMYlGBjZBuk5X2X//6V2P4Hj9+vPTq1St0EdgUwHw/U2zA8v60GVcyHjOkLWrXj370I7PZx7cOW1IS1m7eoNNYuOCpwTRExyVNVy3GRVeYCQtzJl+1v/zlL8aOe/nllxsrR5gdu9mqBJiG/va3v5mFALZC9CnslklWAdIhKEYJm/oOLMiwITMOWGWAdtiwYd7stSUjYfn03H777cbofsYZZ5gNHHiKwma37096ruUVO7C8P2PB3gRs3Ujcn/70pzJkyJCsXdPsJCwvjL6KZGVxxWYVtvslCdbPPv1IVixbJms2lUvXfXpJn577Suf2jQ+XKAVgLbTsBps6daosXLhQrr76arMVM9OVV2DTsxfSIBvT5RoiE/bJDgpVQTfFM/SPf/zDwPr1r389cbB+/N4Cue/+mbJg1WZp3apONn5cJcNGnygTxx4te3VueNJOqQCbKmnvvPNOs5Xxl7/8pfGMpTsYXOy1dnHnGiKTNRlcevbCVGDzEYTIrv8bbrjBLK7wuLDTP0mSVaRW3nzmAXnhnXLpN2ykDOzRVp64/3/l7S0dZdzEyTKyb8NoglIC1kLLpvE//elPxpHEjjRMXukesTj2EmRMt1nIEBnCP9gryl5VFlmYU5IFq/ENydYNK+XVV+bLkhWr5cOPPpQ3Xpsn7XqPknPPPV8O79dwY3apAUsPsBDDnQu06LI/+MEPGlht8qoSFApYLAJXXnml2Rjywx/+0LgFw1SLXBdETXq+brs89+B0eXLuCul+wHAZ3HdveWvOo7KichcZN36SjOpf+sDSb2w0YtMR0DJeOBjs1SyAxc764IMPykUXXWTMJmFJbpsEm4+HqjfLtN/dKPM3tpfjJpwm+7ffLHffeYssre8pZ593gYwZ0K1BLaUoYc13pr7ehLqz3mArJWrcPvvsY9695IFFFfjxj38sY8eONXorm1gSe9VXy6IXn5AZ9z8qKz6slX3221vaVX4on7TZV447ebwcM6xnswDWLppWrlwpv/3tbw2smLtQ4Uoe2GuvvdYkp8D9x06h5OmtDadPdeU22bxpk2z5tFJat+8gHdq0lJr6ltKxU2fp3KFtwYH9715WUt7HO/WxIBFkSewa6w9Cb0oaWGLssel9//vfN6Es7MMsiosDgOvrzeSyUkWkMSD5VwlqZPni1+XZuQtk0KhxMqLXLrF2J3CS5OO2224ze2vZnGQ31oe5z2MLkYkrGRwNZlYyqCjuJKxIunSNOvr5B7Za5r/8jNw7a44cNuEiOXHwblGbHPl+rAbEiaHHEqt26KGHluZp3uy9JHqUhRZhyGEhOJF7MgEPFArYu+5/VPYZOEp23rZOZNeeMnrMGOndPb61ARlzbr31VpMr7PrrrzehP2FWHi8StqamJuuxRy6OA5fjjKx3A2WdDRUklkBpLzXpahcm+Q2RqZbXXnxSfnfTrVLfdYiMPHBP2bh2jZS36SH/c945MmC34EDDps5xzJI4fW688Ub51a9+ZXZ1ZYoLSy2fyZyzp6u2trYRsCjWNmguqBGuUa40Gn2HMIxTTjnFRLjixSiVi1wA9BObdZjAAMumERvKgxTCjsnm87BI1eh9Ui2vvviU3PF/D8mAo8+UM0b3lTUL58msWU9J91Fny/+cMFjiWIfxvkQpIF3Zs4wzASCDLtcN4ZTRpHSbYRLWxnSFfQpoACtL8k794he/MMnMXJ6JPnj5f4JBYHMIG3fYsEMYD6mR2KLHxGTyP/PMM2YDOmY87vF7VclrLz8jDzw2R4447WI55oDdZNO7r8kj90yXDZ2OkinnHyct/Va4ozT2zGKXJeMM6kG6yza92igStqDpNmk4oJJG6OKLLzYu2FK6eK8///nPJkiS3AQMHJMZaYrdkvcl9SZJPsJW0tH75XMJO3XmbDn01Atl4sE95P2F8+SBaXdL7cBT5aLTR8YiYWknm5rIycD+AjbGIGnDJGxR7IdF3znnnHPMtkFUAv9SJvow+3wCKcsX5Gc/+5lJVmHPmOX/85Xi3XGUkNvL/1Utrzz/mNxw4+3SvveR8q1j+smqBfNl4fp6+dZ5F8rIPvEm7mAX1xVXXGEcQKeeemppAMtCC8l64YUXmswopWgdQEcnzSZ/pMW0F9YQTHlHH310TGpQjSxfNF8emfWkVLfcRerLN0htx73lkNFHyoghfaR9qxb+50hKiTiA2F/AhX29JCTsiy++aHJPsaLs3bt3SVoHkKbocnjxSLvJxSKMhWa6dAVudFxUB/T5sDDqYOLq5bPK7bJ1a7nUSwupqqyQstbtTWhRu9a5a68sFkmfz1eSqOX0PR/omja3GXuaw85MKAqVgPQ4999/vzF/oOOV6gWIt9xyi0kZj+Qh0TA70qx0RdclMvWBBx4wVgU2rJM8LsnmPRaNLCIRNmQoR6Ujv64Fl9//85//GB3+nnvuCfRcerHD5mN7IemF2E+JroN3q1QvK2Vtynjcz6hCSFBAZXcaui5S6dvf/rb5jQ3rSb54J1Q6vhxIUtKXEhw6btw4Ay6mTev1wl1LhHO2q2iAxd+MdGGlnC3ff5IHLUrbiO9HygLo6aefbtQCQGVLHgsUYCUvGHrtqFGjEi1d7XsjRdkLe/bZZ5sUR6gbmOnYE0ukCCZKvp7XXXedyUcbK7BBMV1hdtiwbIO24YQKM4AkRiuazS5RKE25l8/7O++8YzaIoKNynteaNWtMogrskAwug410ynYaTBOrjvUx2s/Xgffh4qvBUU2oeHw1UYHwZLLITI/5sg2L4jhgYmcMkckU02U3v/gKQsQLwnlXbJIIMy7H2ut5KBxgOUKJzIDYYfl3Fi1Mbi7ssGxYJ4ydfcBh7sw8NDm0Ct6Jzdv//Oc/Tfi3veADIcRiDOcJqhD6erZ3KhrHAcDyaTzzzDPNrCzlC5ciOrtVCTjl5YknnpDHHnvMSF6kDxMXywH/LIYLCwGWHnRyTHZ8eYntwvYKoKgMOIZ4p6997WvxqgT5WHSxBQ1pcv755weeblIMgxfWRhwHLFDsOV2Ytaz71oKLtPrud78rl1xyiZnISb/4OmJjZY8EuQlwMaO/sgBDAGGiQ+1jnFEJYtVh8wEsL4vOU+rAsrDEiP773//eSCLMWiyucMkipdDz+HSSKZBUl1gKGOAk76tAPWTBiEOEc8d4FwJGOVaJdvPFYNvoNddcE5rWqGisBOg2vBzSJuj8qKRLmrD2sShhpcxmF/Q1pA+TFPOVfW/AZeHCahvpipTyv78grKXuv/O5R29l0UVbsRCkttcCi1uaGC8Wk0UvYZsDsEhX6zSwK2kmaaqUTR1IFmFAbfcduCOU3ztpoz2PLdPEUmDzOx7earO6K9LVnskAlFZ3T5Wy3ipNQEEKbAIGIWoT2MBNFCl5bdkbgOkO3Q9Y2cjNP1lg4SFKshs26ntzfyKA9X1OVymrBNYCgGTFEcBuNI7PRO/D5MOF6xIDO5u7i8EqEAXcqMC6ZPSmfruBO70tZRUVFY3O6WJhwBW2DdDF04VEIYwCXa1UrQTor+y+Z58v0Kae04XExYyFLsiCJcx7GAWWJNybaiXgK8KiK5vjIIqnCysKjpf0L1JZ0DldvjxdrJybg1kLgPIfNVtYbFOBJbg0yEoQxdMVKd2ma14CFwlLd6ISsMIsdbNWcwYWsxbOgzCzlqtKwBeLr1UjCZsPx0Ep67Dp8q25Sli1wxb2S9fk2hVYdRw0GZ5CPKjAKrCF4K7JdSqwCmyT4SnEgwqsAlsI7ppcpwKrwDYZnkI8qMDGDGx69kIGOWqIjE3ymwkQfsOsheNA7bCFmELx1pnqOPjJT35iwmUyebr4f9bTFXaeBfdldRykZy/k9ezBcmFuRBfHgQVWHQfxglOo0lOBtfthfbhmswYhquPA71CrShCzSqDAKrC59EDU3VpFkapIXbO5IJHsZxXYZI9PaOtUJVCVIBSSJN2gwCqwSeIxtC0KrAIbCkmSblBgYwY2PbcWdlMcB1wkbgvK/RTFDtsc8hLQZwqsnxCZrHbYoHO6fACLw4DNvQBbqjFdqRK+OQOLp4tEd0HZC13MWvRnk7IXhnm67LFHYa5ZgFVPV5IUF39tSTVrESLjyzVb0GOP1A7rD5CklaR22KSNSMT2NGeVQHNrRYQlCbcrsDFbCXQvgV/MFVgF1i9RMZemwCqwMSPmt3gFVoH1S1TMpSmwCmzMiPktXoGNGdhMMV2uITI2M3NQzlN+45AKdRz4nRhJKS39jAMcB0zaTFeUMw5iielyBVaTwSUFL//tyARsUExXzq5ZNWv5HURVCWJWCRRYBTaXHlDXbC69l4BnVcKqhE0Ahu5NUGAVWHdaEnCnAqvAJgBD9yYosAqsOy0JuFOBLQCwek5X08lXYIOBdT2UI+s5XZWVlRnP6cJDFZZljsrDDvZNPadLsxc2fSIk9clMxx5l83TxDi7McB/ndHGiZPpVlg1YbvR9sJwCm1Tsmt6uKMBGOVgO1yzANjr2KD3Mm6a75ofFzUY0LH9Bl7pmmw5E0p9MD0IMO1gO6Uuu4KALsDUIMU8jrzpsARZdrichumx+gRONms3TbClANeqaLUCn+6xSJaxKWJ88xV6WAqvAxg6ZzwoUWAXWJ0+xl6XAKrCxQ+azAgU2ZmCzZS/EYEsyOB/pNjWmy+eUSFZZUWO6orhmO3To0NhxkOmcrihmLVyzYY4DBTZZkPlsTZSYLr4+3B/m8lfHgc8RCilLVYKYVQKN6fJLswKrwPolKubSFFgFNmbE/BavwCqwfomKuTQFVoGNGTG/xSuwCqxfomIuTYGNGdhMG7hdk8HpOV2N6W/OwAadIkNPRYk4yBrTlc1xQAWc0xV0uRx7hFNBz+mKWawXsPjU/bD2nK5MMV3AaoHNyXGQCVifElaBHVRAnOKv2hVYK2FdshcCdtZ0m+o48DuozVkl0GOP/LKUl9IU2JgXXSph/XKswCqwfomKuTQFVoGNGTG/xSuwCqxfomIuTYFVYGNGzG/xCqwC65eomEtTYGMGNpcQGZfcWsSGaW6tmGdJAYuPGiLjmlsrq+MgKAjRV/ZCjekqIFExV533IES1w/odUVUJYlYJFFgFNpce0GRwufReAp51lrD1tbJt6xbZvOVTadW+k3TdpYu03qksAW8QrQkKbLT+StzdLsDW11bK2hULZe6812T15u3SusOuMmDwcDloSD/p1KZl4t4pqEEKbFENV+PGugC7Zc0imfXQTHlrXaX07d9HPl63Rip36irHnzJehvXsWlQ9oMAW1XA1Bdg6eevZh+XeJ+bJ/kecKpOOHSob310iS1eslT16D5ED9tu9qHpAgS2q4WoKsDUy5/H75JGX3pERJ50p4w7qIXU1n0lFRaXUt2wjHdsHR3kkrXsSAazPiAM6WFPGp2JWJ4teeFzuffwF2WPosfKto4fKJ2uWyqKVH8gefYbK8P77SDEtvaICm3MyuKqqqozndNHFvhwH1113nTk5RI89+hzc8g3vyNOPPSKvryqXfXv1lG0b1sp26SxjThonI/rvWZTAXnPNNXLZZZcJp8hky3gZJQjRerrSvyhlFRUVjYD1eRKiPVgO+BVY2/21smnNcpn30lxZ8v5mad+luxw4/GA5cGAvaRd8IlDSNAKTjXDJkiVy9dVXy6WXXuoVWO/ndNmo2bB0m7qXIDNndbU1Ul1TI2UtdpLWrYqM1C9eKeo5XZpuM2Eyx8WslbAm59ScqDqsa9SsHiyX07C4P6zA6l4Cd1oScKcCq8AmAEP3JiiwCqw7LQm4U4FVYBOAoXsTFFgF1p2WBNypwMYMbHpMF4Z+jj3i4pyuoCtKuk2OR1LHQQJmlOcmRInpiuLpwqyV8Zyu9Jgu3ifKXgKcBkGOAyaAxnR5piRBxaUCS7rNoUOHZnXN8vXJOQhRQ2T8jr6qBDGrBAqsAptLD6inK5feS8CzKmFVwiYAQ/cmKLAKrDstCbhTgVVgE4ChexMUWAXWnZYE3KnAFhBYogSwo2a7omzgxlarjoMEzCjPTYhiJWAy57yBO1/HHqmnyzMpCSkujmOPeDVnT1eqa5aD5bIFlFGoi2sWUPVguYTQFUMzMgHL/8t0eXHNquPA7yiqDltAHTZs8ws6LOHbQXouOGheAr+TIkmlRdFhkbAa05Wk0RMxmztmzJghixcvlokTJ8qgQc3n6E49CTFhMLo0R4FVlcCFk8Tco8AqsImB0aUhCqwC68JJYu5RYBMOLHZWl1RF6ulKzJzy2pAoVoJYPF3WccA/MWvl6jjQc7qah5WA7IXWSpBr9kKez3pOV3V1dYPshVGAZXYhOYPssPyOHVbTbXoVbIkpDAYw4eHNtDFdSNJsni5+46scdmV1zaqnK6zrov2uOmzCdVj1dDUEWoFVYKOJuALfrcAqsAVGMFr1CqwCG42YAt+twCqwBUYwWvUKrAIbjZgC363AJhhYl4gD+NH9sAWeRTFWH8XT5RpxEOg4yJYMDmdAq1atAp0CrsByTpfGdMVITQGLTs9eOGTIkKytiQLs9u3bTfbC9Kts27ZtTT5YztXTdf311xs3r0bNFpCsmKpOPafrkksuMed0+fB0ASzndDUCtq6urhGw5Ie1ewmC3tNVwuo5XTHRkoBio5zT5SpheS11zeZpcHXRleBFlwYhNp4FCqwCmyfZ6KcaBVaB9UNSnkpRYBXYPKHmpxoFVoH1Q1KeSlFgCwisZi+MTrkCmx3YWGK6GKIoxx7hwQoKkdGYruYR00WIzOWXX24cB7nGdAXaYXOJ6XJxHNhzujSmK7q0LoYnosZ0cT8shF3qOAjrIU+/q0pQQB1WsxdGp1iBVWCjU1PAJxRYBbaA+EWvWoFVYKNTU8AnFFgFtoD4Ra9agVVgo1NTwCcU2IQDq9kLG84OBTbPnq7UY4/CzFoujgOSwemxRwUU+TFXnR5xMHTo0MAQmSiOg44dOzZqfVm2IETudAEWIIPyw+o5Xc3DNUu6TVyzw4YNM6cdZrqi7CXImm5Tsxf6FUGqEiRch9XsharDLlmyxKh9euyRX+GXl9JUwqqEzQtovipRYBVYXyzlpRwFVoHNC2i+KlFgFVhfLOWlHAU24cCqp0utBK5Wgih2WCIOcBykh1+V1dbWZj32iCDEoMvF02VDZPRgubwI+LxXkndPV3pMF28cJQgxzNPVHGK6mLgE3tnzp9KPn+d3pAs267BTI/NOXI4VRonpog9sPwRVG5gfVj1duY0Ynbtq1SpZv369dOvWTbp37y4PPvigOWztlFNOkZ49e8rKlSuFPGT9+vWTTp065VZhwp6OmtCYyUve4TBgs6oECmzuBCxbtkxuvvlmWbt2rYF006ZNsm7dOmEjyNKlS2XevHkybtw4mTRpkrRt2zb3ChNUggKboMFwbQpSdtq0aUKm8Y0bN0rnzp0F/Z8NHJs3b5axY8fKVVddJQMHDnQtsmjuU2CLZqgaNpTPPsBOnz5dqqqqdvyISsAuprPOOsspHr/YXl+BLbYR+6K9LCaAlfT4qAFcLLLGjx9vpOuAAQOK9M2Cm63AFvGwImUBdurUqWaRVerSlaFSYIsYWAbv7rvvNtAuX75cJkyYUNLSteSB/d73viddu3YtYiTDm2512Tlz5siUKVNk8uTJoWac8FKTeweqEFYSIg7ysh82l1NkXM84uPbaa40z4uSTTzYr6FK+kLIzZ840eizWgUGDBmXN5lfIfsCyEZR10rVtALt69Wq57bbb5IorrjDZC7Nd1Olqh80aIlNeXp7xnC57sFxQw6k8LBMd5dx6660ye/ZsUxT/nS0do0sn5fq8Sx253IMni2OjABebK/+dy/vm0pZMz1pIAc0HsHY84ODKK680prts53TRHhdmuK+iokLatWvX6BXKcpGwLnsJGCxmIJ6LsIFzOaiODkJa88+w8ByX8ugRO3hhA2gHIsy9Sr3WVRtUpmt5lMVfWL3cQ5nWRZwNdu7B9EaQaVD7XMvjPsYCL1+XLl0CJaxr1Gx5eXnmzS/58HT5lhKoIi67xHzX61oeE5kr7OvjWp7v+4CGNoZFRfuuN4pKUFDXrKukc5HYdKKVsGFn4VIvEiRMMrlKOtfykF6UibcrqG7uSd00EyQR+c3lPVzKo59pI5/cMAnrIhGjSGJXHVaBDRAXCmzmznE9ascfGjkAAAGQSURBVFOBLSsL/BqphM3cPa4SWyVsCGCqEuQGmOsXQIFt0yZQ0rnaYRVYBZYeKKpFl8vip1CLLtfFlOt9cSy6XBZTUSWstRNnk0quOqxrvV6AzcUO62peAsSwUBprVA4794v7MMxbx0bQytm1XgsiZQatmgsBrLXBugLrEoJidVifwLrU6yUIsaqqKmsQIna6IGO/66fe1TDvUl4hHQcuwNI+JjLvHGZ2iyKZku448Nk+hFJBz+lyATGKhFUrQW46sVoJ1ErQgKA4dFh1HHzexWX5cM2qhM1NIqpZ67/9p8B+sfnFRYK56LCUoxI2u+dMXbMB6ogrYK4SzLU8BVaBbdADuujKTcXQRZcuunTR5bAP14vjQBddn0d+unjiXO+LQyVwdRy43OfbcZDX3Vq5errCdv0jelwHWl2zuX3qXR0RvoF1rdeLhE3PXph6sByuuyBPlytgPs1a1tPF0IZ5klzr9bnoon1WwtK+JG7gpl9oI+MbtoHbJeTGt4RVT1eLFoG7znwCq2at7F3tQ8L+P8WLdxI//otsAAAAAElFTkSuQmCC">
          <a:extLst>
            <a:ext uri="{FF2B5EF4-FFF2-40B4-BE49-F238E27FC236}">
              <a16:creationId xmlns:a16="http://schemas.microsoft.com/office/drawing/2014/main" id="{9E9A6F2E-8879-46D3-B0B9-ED856F82D552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114300</xdr:rowOff>
    </xdr:to>
    <xdr:sp macro="" textlink="">
      <xdr:nvSpPr>
        <xdr:cNvPr id="1027" name="AutoShape 3" descr="data:image/png;base64,iVBORw0KGgoAAAANSUhEUgAAAKwAAAD7CAYAAAD3un+XAAAgAElEQVR4Xu2dCbQUxdWA7wPZEVBURMUIsgoBARNRFMGo0bgEVMCcKKh/TNQkGo1ijHo0UZNoEpMYE7csf35AcQsuuJsQFRdQ3JBdEEGQRRR5wnu+9T9faZF582a6q99Uz/TMu33OOy7TXVVd9dXtW/fWvVVWX19fL2lXZWWllJWVSZs2bdJ/avDf1dXVstNOO5l7g67a2lpp0aJF6H01NTXSsmXL0Ps+++wzc0+rVq0C76Ve7qPuoKuurs78HHafa3lVVVVCma1btw4sk3voft7ZR/tcy6OfaWO7du0C+4+28c6McdDFfdQd9h7cR92MW1h5n376qXTs2LFR+8oUWDGdrcA2RkiBDZHEKmEzyx3XCaUSVlWCBgSpSpB5QqlKECKJVYfNLolddGLVYXXR1YAgXXRll8S66AqYLK6fcFcd0bU8BVaBbdADqhI0Y5Wgurq6gR0WuyV2WK62bdsaO2G2y3VV79MOS/sAlsvFDuti//UpYWkf9mnKDGuf66retX1RyqMPGd8gG3qUxZSrHdbFrsvYYoft0KFDYztsXV1d7MACNuCEGeZdJkAcwNpPPWUHDaCrSpAKbNA7uwAGNPYvzDBPefyFGfp5DwtsUPtcgXWtl/uo28VxsG3btszA5stx4OJxcgGW2edbJXAF0fW+OHRYl9W/ywSg/6yVAAkbBqyLRHStVz1d6pptoK25gqNmLTVrqVlL9xJk3x7hWyVwXdQUUiVw2eugElZds+qa1d1a2SVnoRZdKmGzG/pdFl2u1gRddOmiSxdd9IBu4A7cXxz6o6vEDi3oixtcy2sWOmxVVVUjV5b1JIVFHLh+wn16uhhD7JxxeLowzFvPmHUg8BmrqKiQ8vJy+eSTT8w/P/roI9m0aZN8+OGHsmXLFtm6datg6KZdvGuqd9BGRmDzZAd9586dZdddd5XddtvN/O2yyy7SqVMn2Xnnnc3vRCnYyxrkLYhhjhfXTzNtxLnB+IZ5unyrBC7l8f70Z/v27aNFHNB5QS/ES9uQlqD7rKcrzJPkOgHsFwCPSdAgunrYLGB0JnCuW7dOli5dKkuWLJH333/fgAmkuAt5BwADNOCzoBFuQn/hZXr77bdl48aN8uUvf1m6du1q4EAIbN++3ZQB4ID+8ccfm/p4jy5duhiQu3XrJj179pQBAwbI/vvvb/6fHYewUCRXj5NPx4H1woV52Ox9rp4uDZHJ8P2lE9evX28A42/RokXy7rvvGvcm0g949t57b9l3332lR48esueee+6QgoBp3c2pExHJ8Ic//EFeeOEFueCCC+TYY4/d4VqlCVZaMnBIZCYf8K5du1ZWr15t/mjThg0bDNhMjP79+8sBBxwggwcPlj59+pg2ZLqahUqQL9esyyYUVwmbix2Wz/ry5ctl3rx5MnfuXCMJkWCAiUQEjO7duxtQ+IzzBbF/6epCJmj+/e9/y89//nOZP3++nHfeeXLppZfK7rvvnhEwK9mtZARi+7lGwmzevFlWrVolb775pixbtsz8N23p16+fjBw5UoYOHWomkt07oMAWuR3WUgKkCxYsEGB66623jB663377yVe+8hUD6Je+9CXzaefTzOC7qDmZCERS3nTTTXLzzTcb6fjVr35VrrrqKjn++ONd11c77rP6qAWYSQqwgPv666/LG2+8Yd6DiXbYYYfJEUccYeBN1YGzVaqu2QS6ZtEb0UGffPJJefnll43+OHDgQDnkkEPkwAMPNLolgwukLqHlLsT961//MtL1+eefN2oA2+POPfdcmTJliuyxxx4uRQTegwQFNt4N1QP1gS8Ff+jd6LxHHnmk+eP9FNi0HkhiXgKkKfrjww8/LO+9956RpGPGjJHhw4cbvZTPfNhirSlkWen6xz/+0eikXOi2Bx98sJGy3/jGN5pSbNZnbAg2ejCTEd37ueeek5deesks8FAZTjjhBDNJ0xdrKmETIGFZqDz11FPy6KOP7hiw0aNHmxW3NReFmYVyIWr27NlGuj777LM7JDafcyYIuuxll12WVZfNpV77LBACKpYH1AX6YsWKFdK3b1+ZMGGCHHTQQTv2oSqwBQDWLoQwOT300EPm0w8cRx11lBx++OHmE2wXTWHmoFyBweT161//WmbMmGEkKmYvzFWYvVh8MVFYfH3zm98MzWqTa1uQvEhd9FsWl/TLq6++ar40gDtixAgzobjHJeLAxW7qav+NzTVrV+FhCrzrqt7VceB6H7ocn93HH39cZs6caQzMLGwYDEDFIB6nNE2FikFAos2ZM8csemjD008/bWA56aSTTNuQukB83HHHGbtqPi6rMqAuoBrNmjXLqEqYxU477TRjIsN2HHRFATGOEJlM5ruy7du3Z/R0IZXyDWzYBEAy0DEAMH36dCPFTjzxRLNCzjeoqQONLRWJxUTBynDvvffK4sWLjUTDAcDvDD4SLSx8JQ6YEQQs0lARmOBIfSwkkyZNMhYS1iKZYvdcHRFRwHaR2PRBVk9XMbhmbXgNkuKOO+4wJiogBVaM+mGhHnFAkK1MBhnVAGAnTpwogwYNymf1gXUhEPgyYdq777775IMPPjBtRFWhD4Ep/evhAlhegc3mOKDhYb7mOFyzmYIV6TQ+adOmTTPeJwsCn9mwwLx805JkYOkL4GLcWKRil6Zf0W9ZGGIWS71cJKy6ZtPSbdKxf//73+WVV14xOuAxxxwje+21V2jkZb5BtfUlHdjUdqLfYqu+6667jGt48uTJxpVs9X+rB4epMVEkbElnfsG3/5vf/MborWeddZZxRaKI52tB1RToiwXYVHMYTgcWsI888ogRCN/5znfMYlGBjZBuk5X2X//6V2P4Hj9+vPTq1St0EdgUwHw/U2zA8v60GVcyHjOkLWrXj370I7PZx7cOW1IS1m7eoNNYuOCpwTRExyVNVy3GRVeYCQtzJl+1v/zlL8aOe/nllxsrR5gdu9mqBJiG/va3v5mFALZC9CnslklWAdIhKEYJm/oOLMiwITMOWGWAdtiwYd7stSUjYfn03H777cbofsYZZ5gNHHiKwma37096ruUVO7C8P2PB3gRs3Ujcn/70pzJkyJCsXdPsJCwvjL6KZGVxxWYVtvslCdbPPv1IVixbJms2lUvXfXpJn577Suf2jQ+XKAVgLbTsBps6daosXLhQrr76arMVM9OVV2DTsxfSIBvT5RoiE/bJDgpVQTfFM/SPf/zDwPr1r389cbB+/N4Cue/+mbJg1WZp3apONn5cJcNGnygTxx4te3VueNJOqQCbKmnvvPNOs5Xxl7/8pfGMpTsYXOy1dnHnGiKTNRlcevbCVGDzEYTIrv8bbrjBLK7wuLDTP0mSVaRW3nzmAXnhnXLpN2ykDOzRVp64/3/l7S0dZdzEyTKyb8NoglIC1kLLpvE//elPxpHEjjRMXukesTj2EmRMt1nIEBnCP9gryl5VFlmYU5IFq/ENydYNK+XVV+bLkhWr5cOPPpQ3Xpsn7XqPknPPPV8O79dwY3apAUsPsBDDnQu06LI/+MEPGlht8qoSFApYLAJXXnml2Rjywx/+0LgFw1SLXBdETXq+brs89+B0eXLuCul+wHAZ3HdveWvOo7KichcZN36SjOpf+sDSb2w0YtMR0DJeOBjs1SyAxc764IMPykUXXWTMJmFJbpsEm4+HqjfLtN/dKPM3tpfjJpwm+7ffLHffeYssre8pZ593gYwZ0K1BLaUoYc13pr7ehLqz3mArJWrcPvvsY9695IFFFfjxj38sY8eONXorm1gSe9VXy6IXn5AZ9z8qKz6slX3221vaVX4on7TZV447ebwcM6xnswDWLppWrlwpv/3tbw2smLtQ4Uoe2GuvvdYkp8D9x06h5OmtDadPdeU22bxpk2z5tFJat+8gHdq0lJr6ltKxU2fp3KFtwYH9715WUt7HO/WxIBFkSewa6w9Cb0oaWGLssel9//vfN6Es7MMsiosDgOvrzeSyUkWkMSD5VwlqZPni1+XZuQtk0KhxMqLXLrF2J3CS5OO2224ze2vZnGQ31oe5z2MLkYkrGRwNZlYyqCjuJKxIunSNOvr5B7Za5r/8jNw7a44cNuEiOXHwblGbHPl+rAbEiaHHEqt26KGHluZp3uy9JHqUhRZhyGEhOJF7MgEPFArYu+5/VPYZOEp23rZOZNeeMnrMGOndPb61ARlzbr31VpMr7PrrrzehP2FWHi8StqamJuuxRy6OA5fjjKx3A2WdDRUklkBpLzXpahcm+Q2RqZbXXnxSfnfTrVLfdYiMPHBP2bh2jZS36SH/c945MmC34EDDps5xzJI4fW688Ub51a9+ZXZ1ZYoLSy2fyZyzp6u2trYRsCjWNmguqBGuUa40Gn2HMIxTTjnFRLjixSiVi1wA9BObdZjAAMumERvKgxTCjsnm87BI1eh9Ui2vvviU3PF/D8mAo8+UM0b3lTUL58msWU9J91Fny/+cMFjiWIfxvkQpIF3Zs4wzASCDLtcN4ZTRpHSbYRLWxnSFfQpoACtL8k794he/MMnMXJ6JPnj5f4JBYHMIG3fYsEMYD6mR2KLHxGTyP/PMM2YDOmY87vF7VclrLz8jDzw2R4447WI55oDdZNO7r8kj90yXDZ2OkinnHyct/Va4ozT2zGKXJeMM6kG6yza92igStqDpNmk4oJJG6OKLLzYu2FK6eK8///nPJkiS3AQMHJMZaYrdkvcl9SZJPsJW0tH75XMJO3XmbDn01Atl4sE95P2F8+SBaXdL7cBT5aLTR8YiYWknm5rIycD+AjbGIGnDJGxR7IdF3znnnHPMtkFUAv9SJvow+3wCKcsX5Gc/+5lJVmHPmOX/85Xi3XGUkNvL/1Utrzz/mNxw4+3SvveR8q1j+smqBfNl4fp6+dZ5F8rIPvEm7mAX1xVXXGEcQKeeemppAMtCC8l64YUXmswopWgdQEcnzSZ/pMW0F9YQTHlHH310TGpQjSxfNF8emfWkVLfcRerLN0htx73lkNFHyoghfaR9qxb+50hKiTiA2F/AhX29JCTsiy++aHJPsaLs3bt3SVoHkKbocnjxSLvJxSKMhWa6dAVudFxUB/T5sDDqYOLq5bPK7bJ1a7nUSwupqqyQstbtTWhRu9a5a68sFkmfz1eSqOX0PR/omja3GXuaw85MKAqVgPQ4999/vzF/oOOV6gWIt9xyi0kZj+Qh0TA70qx0RdclMvWBBx4wVgU2rJM8LsnmPRaNLCIRNmQoR6Ujv64Fl9//85//GB3+nnvuCfRcerHD5mN7IemF2E+JroN3q1QvK2Vtynjcz6hCSFBAZXcaui5S6dvf/rb5jQ3rSb54J1Q6vhxIUtKXEhw6btw4Ay6mTev1wl1LhHO2q2iAxd+MdGGlnC3ff5IHLUrbiO9HygLo6aefbtQCQGVLHgsUYCUvGHrtqFGjEi1d7XsjRdkLe/bZZ5sUR6gbmOnYE0ukCCZKvp7XXXedyUcbK7BBMV1hdtiwbIO24YQKM4AkRiuazS5RKE25l8/7O++8YzaIoKNynteaNWtMogrskAwug410ynYaTBOrjvUx2s/Xgffh4qvBUU2oeHw1UYHwZLLITI/5sg2L4jhgYmcMkckU02U3v/gKQsQLwnlXbJIIMy7H2ut5KBxgOUKJzIDYYfl3Fi1Mbi7ssGxYJ4ydfcBh7sw8NDm0Ct6Jzdv//Oc/Tfi3veADIcRiDOcJqhD6erZ3KhrHAcDyaTzzzDPNrCzlC5ciOrtVCTjl5YknnpDHHnvMSF6kDxMXywH/LIYLCwGWHnRyTHZ8eYntwvYKoKgMOIZ4p6997WvxqgT5WHSxBQ1pcv755weeblIMgxfWRhwHLFDsOV2Ytaz71oKLtPrud78rl1xyiZnISb/4OmJjZY8EuQlwMaO/sgBDAGGiQ+1jnFEJYtVh8wEsL4vOU+rAsrDEiP773//eSCLMWiyucMkipdDz+HSSKZBUl1gKGOAk76tAPWTBiEOEc8d4FwJGOVaJdvPFYNvoNddcE5rWqGisBOg2vBzSJuj8qKRLmrD2sShhpcxmF/Q1pA+TFPOVfW/AZeHCahvpipTyv78grKXuv/O5R29l0UVbsRCkttcCi1uaGC8Wk0UvYZsDsEhX6zSwK2kmaaqUTR1IFmFAbfcduCOU3ztpoz2PLdPEUmDzOx7earO6K9LVnskAlFZ3T5Wy3ipNQEEKbAIGIWoT2MBNFCl5bdkbgOkO3Q9Y2cjNP1lg4SFKshs26ntzfyKA9X1OVymrBNYCgGTFEcBuNI7PRO/D5MOF6xIDO5u7i8EqEAXcqMC6ZPSmfruBO70tZRUVFY3O6WJhwBW2DdDF04VEIYwCXa1UrQTor+y+Z58v0Kae04XExYyFLsiCJcx7GAWWJNybaiXgK8KiK5vjIIqnCysKjpf0L1JZ0DldvjxdrJybg1kLgPIfNVtYbFOBJbg0yEoQxdMVKd2ma14CFwlLd6ISsMIsdbNWcwYWsxbOgzCzlqtKwBeLr1UjCZsPx0Ep67Dp8q25Sli1wxb2S9fk2hVYdRw0GZ5CPKjAKrCF4K7JdSqwCmyT4SnEgwqsAlsI7ppcpwKrwDYZnkI8qMDGDGx69kIGOWqIjE3ymwkQfsOsheNA7bCFmELx1pnqOPjJT35iwmUyebr4f9bTFXaeBfdldRykZy/k9ezBcmFuRBfHgQVWHQfxglOo0lOBtfthfbhmswYhquPA71CrShCzSqDAKrC59EDU3VpFkapIXbO5IJHsZxXYZI9PaOtUJVCVIBSSJN2gwCqwSeIxtC0KrAIbCkmSblBgYwY2PbcWdlMcB1wkbgvK/RTFDtsc8hLQZwqsnxCZrHbYoHO6fACLw4DNvQBbqjFdqRK+OQOLp4tEd0HZC13MWvRnk7IXhnm67LFHYa5ZgFVPV5IUF39tSTVrESLjyzVb0GOP1A7rD5CklaR22KSNSMT2NGeVQHNrRYQlCbcrsDFbCXQvgV/MFVgF1i9RMZemwCqwMSPmt3gFVoH1S1TMpSmwCmzMiPktXoGNGdhMMV2uITI2M3NQzlN+45AKdRz4nRhJKS39jAMcB0zaTFeUMw5iielyBVaTwSUFL//tyARsUExXzq5ZNWv5HURVCWJWCRRYBTaXHlDXbC69l4BnVcKqhE0Ahu5NUGAVWHdaEnCnAqvAJgBD9yYosAqsOy0JuFOBLQCwek5X08lXYIOBdT2UI+s5XZWVlRnP6cJDFZZljsrDDvZNPadLsxc2fSIk9clMxx5l83TxDi7McB/ndHGiZPpVlg1YbvR9sJwCm1Tsmt6uKMBGOVgO1yzANjr2KD3Mm6a75ofFzUY0LH9Bl7pmmw5E0p9MD0IMO1gO6Uuu4KALsDUIMU8jrzpsARZdrichumx+gRONms3TbClANeqaLUCn+6xSJaxKWJ88xV6WAqvAxg6ZzwoUWAXWJ0+xl6XAKrCxQ+azAgU2ZmCzZS/EYEsyOB/pNjWmy+eUSFZZUWO6orhmO3To0NhxkOmcrihmLVyzYY4DBTZZkPlsTZSYLr4+3B/m8lfHgc8RCilLVYKYVQKN6fJLswKrwPolKubSFFgFNmbE/BavwCqwfomKuTQFVoGNGTG/xSuwCqxfomIuTYGNGdhMG7hdk8HpOV2N6W/OwAadIkNPRYk4yBrTlc1xQAWc0xV0uRx7hFNBz+mKWawXsPjU/bD2nK5MMV3AaoHNyXGQCVifElaBHVRAnOKv2hVYK2FdshcCdtZ0m+o48DuozVkl0GOP/LKUl9IU2JgXXSph/XKswCqwfomKuTQFVoGNGTG/xSuwCqxfomIuTYFVYGNGzG/xCqwC65eomEtTYGMGNpcQGZfcWsSGaW6tmGdJAYuPGiLjmlsrq+MgKAjRV/ZCjekqIFExV533IES1w/odUVUJYlYJFFgFNpce0GRwufReAp51lrD1tbJt6xbZvOVTadW+k3TdpYu03qksAW8QrQkKbLT+StzdLsDW11bK2hULZe6812T15u3SusOuMmDwcDloSD/p1KZl4t4pqEEKbFENV+PGugC7Zc0imfXQTHlrXaX07d9HPl63Rip36irHnzJehvXsWlQ9oMAW1XA1Bdg6eevZh+XeJ+bJ/kecKpOOHSob310iS1eslT16D5ED9tu9qHpAgS2q4WoKsDUy5/H75JGX3pERJ50p4w7qIXU1n0lFRaXUt2wjHdsHR3kkrXsSAazPiAM6WFPGp2JWJ4teeFzuffwF2WPosfKto4fKJ2uWyqKVH8gefYbK8P77SDEtvaICm3MyuKqqqozndNHFvhwH1113nTk5RI89+hzc8g3vyNOPPSKvryqXfXv1lG0b1sp26SxjThonI/rvWZTAXnPNNXLZZZcJp8hky3gZJQjRerrSvyhlFRUVjYD1eRKiPVgO+BVY2/21smnNcpn30lxZ8v5mad+luxw4/GA5cGAvaRd8IlDSNAKTjXDJkiVy9dVXy6WXXuoVWO/ndNmo2bB0m7qXIDNndbU1Ul1TI2UtdpLWrYqM1C9eKeo5XZpuM2Eyx8WslbAm59ScqDqsa9SsHiyX07C4P6zA6l4Cd1oScKcCq8AmAEP3JiiwCqw7LQm4U4FVYBOAoXsTFFgF1p2WBNypwMYMbHpMF4Z+jj3i4pyuoCtKuk2OR1LHQQJmlOcmRInpiuLpwqyV8Zyu9Jgu3ifKXgKcBkGOAyaAxnR5piRBxaUCS7rNoUOHZnXN8vXJOQhRQ2T8jr6qBDGrBAqsAptLD6inK5feS8CzKmFVwiYAQ/cmKLAKrDstCbhTgVVgE4ChexMUWAXWnZYE3KnAFhBYogSwo2a7omzgxlarjoMEzCjPTYhiJWAy57yBO1/HHqmnyzMpCSkujmOPeDVnT1eqa5aD5bIFlFGoi2sWUPVguYTQFUMzMgHL/8t0eXHNquPA7yiqDltAHTZs8ws6LOHbQXouOGheAr+TIkmlRdFhkbAa05Wk0RMxmztmzJghixcvlokTJ8qgQc3n6E49CTFhMLo0R4FVlcCFk8Tco8AqsImB0aUhCqwC68JJYu5RYBMOLHZWl1RF6ulKzJzy2pAoVoJYPF3WccA/MWvl6jjQc7qah5WA7IXWSpBr9kKez3pOV3V1dYPshVGAZXYhOYPssPyOHVbTbXoVbIkpDAYw4eHNtDFdSNJsni5+46scdmV1zaqnK6zrov2uOmzCdVj1dDUEWoFVYKOJuALfrcAqsAVGMFr1CqwCG42YAt+twCqwBUYwWvUKrAIbjZgC363AJhhYl4gD+NH9sAWeRTFWH8XT5RpxEOg4yJYMDmdAq1atAp0CrsByTpfGdMVITQGLTs9eOGTIkKytiQLs9u3bTfbC9Kts27ZtTT5YztXTdf311xs3r0bNFpCsmKpOPafrkksuMed0+fB0ASzndDUCtq6urhGw5Ie1ewmC3tNVwuo5XTHRkoBio5zT5SpheS11zeZpcHXRleBFlwYhNp4FCqwCmyfZ6KcaBVaB9UNSnkpRYBXYPKHmpxoFVoH1Q1KeSlFgCwisZi+MTrkCmx3YWGK6GKIoxx7hwQoKkdGYruYR00WIzOWXX24cB7nGdAXaYXOJ6XJxHNhzujSmK7q0LoYnosZ0cT8shF3qOAjrIU+/q0pQQB1WsxdGp1iBVWCjU1PAJxRYBbaA+EWvWoFVYKNTU8AnFFgFtoD4Ra9agVVgo1NTwCcU2IQDq9kLG84OBTbPnq7UY4/CzFoujgOSwemxRwUU+TFXnR5xMHTo0MAQmSiOg44dOzZqfVm2IETudAEWIIPyw+o5Xc3DNUu6TVyzw4YNM6cdZrqi7CXImm5Tsxf6FUGqEiRch9XsharDLlmyxKh9euyRX+GXl9JUwqqEzQtovipRYBVYXyzlpRwFVoHNC2i+KlFgFVhfLOWlHAU24cCqp0utBK5Wgih2WCIOcBykh1+V1dbWZj32iCDEoMvF02VDZPRgubwI+LxXkndPV3pMF28cJQgxzNPVHGK6mLgE3tnzp9KPn+d3pAs267BTI/NOXI4VRonpog9sPwRVG5gfVj1duY0Ynbtq1SpZv369dOvWTbp37y4PPvigOWztlFNOkZ49e8rKlSuFPGT9+vWTTp065VZhwp6OmtCYyUve4TBgs6oECmzuBCxbtkxuvvlmWbt2rYF006ZNsm7dOmEjyNKlS2XevHkybtw4mTRpkrRt2zb3ChNUggKboMFwbQpSdtq0aUKm8Y0bN0rnzp0F/Z8NHJs3b5axY8fKVVddJQMHDnQtsmjuU2CLZqgaNpTPPsBOnz5dqqqqdvyISsAuprPOOsspHr/YXl+BLbYR+6K9LCaAlfT4qAFcLLLGjx9vpOuAAQOK9M2Cm63AFvGwImUBdurUqWaRVerSlaFSYIsYWAbv7rvvNtAuX75cJkyYUNLSteSB/d73viddu3YtYiTDm2512Tlz5siUKVNk8uTJoWac8FKTeweqEFYSIg7ysh82l1NkXM84uPbaa40z4uSTTzYr6FK+kLIzZ840eizWgUGDBmXN5lfIfsCyEZR10rVtALt69Wq57bbb5IorrjDZC7Nd1Olqh80aIlNeXp7xnC57sFxQw6k8LBMd5dx6660ye/ZsUxT/nS0do0sn5fq8Sx253IMni2OjABebK/+dy/vm0pZMz1pIAc0HsHY84ODKK680prts53TRHhdmuK+iokLatWvX6BXKcpGwLnsJGCxmIJ6LsIFzOaiODkJa88+w8ByX8ugRO3hhA2gHIsy9Sr3WVRtUpmt5lMVfWL3cQ5nWRZwNdu7B9EaQaVD7XMvjPsYCL1+XLl0CJaxr1Gx5eXnmzS/58HT5lhKoIi67xHzX61oeE5kr7OvjWp7v+4CGNoZFRfuuN4pKUFDXrKukc5HYdKKVsGFn4VIvEiRMMrlKOtfykF6UibcrqG7uSd00EyQR+c3lPVzKo59pI5/cMAnrIhGjSGJXHVaBDRAXCmzmznE9ascfGjkAAAGQSURBVFOBLSsL/BqphM3cPa4SWyVsCGCqEuQGmOsXQIFt0yZQ0rnaYRVYBZYeKKpFl8vip1CLLtfFlOt9cSy6XBZTUSWstRNnk0quOqxrvV6AzcUO62peAsSwUBprVA4794v7MMxbx0bQytm1XgsiZQatmgsBrLXBugLrEoJidVifwLrU6yUIsaqqKmsQIna6IGO/66fe1TDvUl4hHQcuwNI+JjLvHGZ2iyKZku448Nk+hFJBz+lyATGKhFUrQW46sVoJ1ErQgKA4dFh1HHzexWX5cM2qhM1NIqpZ67/9p8B+sfnFRYK56LCUoxI2u+dMXbMB6ogrYK4SzLU8BVaBbdADuujKTcXQRZcuunTR5bAP14vjQBddn0d+unjiXO+LQyVwdRy43OfbcZDX3Vq5errCdv0jelwHWl2zuX3qXR0RvoF1rdeLhE3PXph6sByuuyBPlytgPs1a1tPF0IZ5klzr9bnoon1WwtK+JG7gpl9oI+MbtoHbJeTGt4RVT1eLFoG7znwCq2at7F3tQ8L+P8WLdxI//otsAAAAAElFTkSuQmCC">
          <a:extLst>
            <a:ext uri="{FF2B5EF4-FFF2-40B4-BE49-F238E27FC236}">
              <a16:creationId xmlns:a16="http://schemas.microsoft.com/office/drawing/2014/main" id="{A54E3052-3740-4143-BE1C-870CF3A79AD5}"/>
            </a:ext>
          </a:extLst>
        </xdr:cNvPr>
        <xdr:cNvSpPr>
          <a:spLocks noChangeAspect="1" noChangeArrowheads="1"/>
        </xdr:cNvSpPr>
      </xdr:nvSpPr>
      <xdr:spPr bwMode="auto">
        <a:xfrm>
          <a:off x="32956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66675</xdr:colOff>
      <xdr:row>1</xdr:row>
      <xdr:rowOff>95250</xdr:rowOff>
    </xdr:from>
    <xdr:to>
      <xdr:col>0</xdr:col>
      <xdr:colOff>1834792</xdr:colOff>
      <xdr:row>13</xdr:row>
      <xdr:rowOff>19396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BC92B1-FC86-4A13-91A1-FDDB5BD1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85750"/>
          <a:ext cx="1768117" cy="2210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CA9C-3ED2-48E4-9D5D-0B209D1FD0D6}">
  <dimension ref="A1:L15"/>
  <sheetViews>
    <sheetView tabSelected="1" workbookViewId="0">
      <selection activeCell="C4" sqref="C4"/>
    </sheetView>
  </sheetViews>
  <sheetFormatPr defaultRowHeight="15" x14ac:dyDescent="0.25"/>
  <cols>
    <col min="1" max="1" width="31.140625" bestFit="1" customWidth="1"/>
    <col min="2" max="2" width="13.140625" bestFit="1" customWidth="1"/>
    <col min="6" max="6" width="13.28515625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 t="s">
        <v>2</v>
      </c>
      <c r="H2" s="1" t="s">
        <v>3</v>
      </c>
      <c r="I2" s="1" t="s">
        <v>4</v>
      </c>
      <c r="J2" s="1" t="s">
        <v>13</v>
      </c>
      <c r="K2" s="1"/>
      <c r="L2" s="1"/>
    </row>
    <row r="3" spans="1:12" x14ac:dyDescent="0.25">
      <c r="A3" s="1"/>
      <c r="B3" s="1" t="s">
        <v>5</v>
      </c>
      <c r="C3" s="1">
        <f>7.12</f>
        <v>7.12</v>
      </c>
      <c r="D3" s="1"/>
      <c r="E3" s="1"/>
      <c r="F3" s="1"/>
      <c r="G3" s="1">
        <v>0.16</v>
      </c>
      <c r="H3" s="1">
        <v>0.05</v>
      </c>
      <c r="I3" s="1">
        <v>0.40000000000000341</v>
      </c>
      <c r="J3" s="1"/>
      <c r="K3" s="1"/>
      <c r="L3" s="1"/>
    </row>
    <row r="4" spans="1:12" x14ac:dyDescent="0.25">
      <c r="A4" s="1"/>
      <c r="B4" s="1" t="s">
        <v>6</v>
      </c>
      <c r="C4" s="1">
        <f>29.41995</f>
        <v>29.41995</v>
      </c>
      <c r="D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 t="s">
        <v>7</v>
      </c>
      <c r="C5" s="1">
        <f>C3/C4</f>
        <v>0.24201264788009497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 t="s">
        <v>8</v>
      </c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>
        <f>PI()/2 * G3 * H3</f>
        <v>1.2566370614359175E-2</v>
      </c>
      <c r="H7" s="1">
        <f>2*G3*I3</f>
        <v>0.12800000000000109</v>
      </c>
      <c r="I7" s="1"/>
      <c r="J7" s="1">
        <f>SUM(G7:H7)</f>
        <v>0.14056637061436025</v>
      </c>
      <c r="K7" s="1" t="s">
        <v>9</v>
      </c>
      <c r="L7" s="1">
        <f>C5</f>
        <v>0.24201264788009497</v>
      </c>
    </row>
    <row r="8" spans="1:12" x14ac:dyDescent="0.25">
      <c r="A8" s="1"/>
      <c r="B8" s="1"/>
      <c r="C8" s="1"/>
      <c r="D8" s="1"/>
      <c r="E8" s="1"/>
      <c r="F8" s="1"/>
      <c r="G8" s="1">
        <f>G3</f>
        <v>0.16</v>
      </c>
      <c r="H8" s="1"/>
      <c r="I8" s="1"/>
      <c r="J8" s="1">
        <f>G8</f>
        <v>0.16</v>
      </c>
      <c r="K8" s="1" t="s">
        <v>10</v>
      </c>
      <c r="L8" s="1">
        <v>0.16</v>
      </c>
    </row>
    <row r="9" spans="1:12" x14ac:dyDescent="0.25">
      <c r="B9" s="1" t="s">
        <v>14</v>
      </c>
      <c r="C9" s="1"/>
      <c r="D9" s="1"/>
      <c r="E9" s="1"/>
      <c r="F9" s="1"/>
      <c r="G9" s="1"/>
      <c r="H9" s="1">
        <f>H3</f>
        <v>0.05</v>
      </c>
      <c r="I9" s="1">
        <f>I3</f>
        <v>0.40000000000000341</v>
      </c>
      <c r="J9" s="1">
        <f>SUM(H9:I9)</f>
        <v>0.4500000000000034</v>
      </c>
      <c r="K9" s="1" t="s">
        <v>10</v>
      </c>
      <c r="L9" s="1">
        <v>0.45</v>
      </c>
    </row>
    <row r="10" spans="1:12" x14ac:dyDescent="0.25">
      <c r="A10" s="1"/>
      <c r="B10" s="1"/>
      <c r="C10" s="1"/>
      <c r="D10" s="1"/>
      <c r="E10" s="1"/>
      <c r="F10" s="1"/>
      <c r="G10" s="1"/>
      <c r="H10" s="1">
        <f>H3</f>
        <v>0.05</v>
      </c>
      <c r="I10" s="1"/>
      <c r="J10" s="1">
        <f>H10</f>
        <v>0.05</v>
      </c>
      <c r="K10" s="1" t="s">
        <v>9</v>
      </c>
      <c r="L10" s="1">
        <v>0.05</v>
      </c>
    </row>
    <row r="11" spans="1:12" x14ac:dyDescent="0.25">
      <c r="A11" s="1"/>
      <c r="B11" s="1"/>
      <c r="C11" s="1"/>
      <c r="D11" s="1"/>
      <c r="E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H13" s="1"/>
      <c r="I13" s="1"/>
      <c r="J13" s="1"/>
      <c r="K13" s="1"/>
      <c r="L13" s="1"/>
    </row>
    <row r="14" spans="1:12" x14ac:dyDescent="0.25">
      <c r="F14" s="1" t="s">
        <v>11</v>
      </c>
      <c r="G14" s="1"/>
    </row>
    <row r="15" spans="1:12" x14ac:dyDescent="0.25">
      <c r="A15" t="s">
        <v>12</v>
      </c>
      <c r="G15" s="1">
        <f>PI()/2 * G3 * H3 + (2*G3*I3)</f>
        <v>0.14056637061436025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Flynn</dc:creator>
  <cp:lastModifiedBy>Thomas Flynn</cp:lastModifiedBy>
  <dcterms:created xsi:type="dcterms:W3CDTF">2020-03-20T16:49:56Z</dcterms:created>
  <dcterms:modified xsi:type="dcterms:W3CDTF">2020-04-22T19:01:42Z</dcterms:modified>
</cp:coreProperties>
</file>