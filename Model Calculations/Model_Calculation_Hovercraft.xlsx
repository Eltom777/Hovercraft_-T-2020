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9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55\AC\Temp\"/>
    </mc:Choice>
  </mc:AlternateContent>
  <xr:revisionPtr revIDLastSave="0" documentId="8_{88D6FCF1-F83C-4210-8219-419D25AAEE3C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Model Calculatio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1" l="1"/>
  <c r="B21" i="1"/>
  <c r="B53" i="1"/>
  <c r="B52" i="1"/>
  <c r="B43" i="1"/>
  <c r="B45" i="1" s="1"/>
  <c r="B49" i="1" s="1"/>
  <c r="B39" i="1"/>
  <c r="B27" i="1"/>
  <c r="B23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G12" i="1" s="1"/>
  <c r="G14" i="1" s="1"/>
  <c r="G15" i="1" s="1"/>
  <c r="E3" i="1"/>
  <c r="B13" i="1" s="1"/>
  <c r="B38" i="1" l="1"/>
  <c r="B30" i="1"/>
  <c r="B24" i="1"/>
  <c r="B50" i="1"/>
  <c r="B55" i="1"/>
  <c r="B54" i="1"/>
  <c r="B56" i="1" s="1"/>
  <c r="B57" i="1" s="1"/>
  <c r="B28" i="1" l="1"/>
  <c r="B40" i="1"/>
  <c r="B34" i="1"/>
  <c r="B35" i="1" s="1"/>
  <c r="B29" i="1"/>
</calcChain>
</file>

<file path=xl/sharedStrings.xml><?xml version="1.0" encoding="utf-8"?>
<sst xmlns="http://schemas.openxmlformats.org/spreadsheetml/2006/main" count="92" uniqueCount="78">
  <si>
    <t>Model 1:</t>
  </si>
  <si>
    <t xml:space="preserve">Component </t>
  </si>
  <si>
    <t>Mass (g)</t>
  </si>
  <si>
    <t>Dimesion ( Length * width*height) (mm)</t>
  </si>
  <si>
    <t xml:space="preserve">Quantity </t>
  </si>
  <si>
    <t>Mass * Quantity</t>
  </si>
  <si>
    <t>Battery Consumption mA/h</t>
  </si>
  <si>
    <t xml:space="preserve">Consumption * Quantity  </t>
  </si>
  <si>
    <t>AFB1212SH</t>
  </si>
  <si>
    <t>120 x 25 x 120</t>
  </si>
  <si>
    <t>Rhino 460mA</t>
  </si>
  <si>
    <t>52 x 30 x 8</t>
  </si>
  <si>
    <t>controller</t>
  </si>
  <si>
    <t>101.60 x 76.20 x 34.94</t>
  </si>
  <si>
    <t>MPU-9250</t>
  </si>
  <si>
    <t>3 x 3 x 1</t>
  </si>
  <si>
    <t>GP2Y0A02YK0F</t>
  </si>
  <si>
    <t>21.6 x 37 x 18.9</t>
  </si>
  <si>
    <t>MB1030-000</t>
  </si>
  <si>
    <t>15.5 x 19.9 x 16.4</t>
  </si>
  <si>
    <t>HS-311</t>
  </si>
  <si>
    <t>39.88 x 19.81 x 36.32</t>
  </si>
  <si>
    <t>breadboard</t>
  </si>
  <si>
    <t>85 x 50</t>
  </si>
  <si>
    <t xml:space="preserve">Total Consumption mA/h= </t>
  </si>
  <si>
    <t>Mass of comp</t>
  </si>
  <si>
    <t>mass of styropfoam body</t>
  </si>
  <si>
    <t xml:space="preserve">Estimate Time (h) = </t>
  </si>
  <si>
    <t xml:space="preserve">Estimate Time (min) = </t>
  </si>
  <si>
    <t>Total mass (g)</t>
  </si>
  <si>
    <t xml:space="preserve">Calculate lift: </t>
  </si>
  <si>
    <t>Note: -&gt; means require an input</t>
  </si>
  <si>
    <t>weight of hovercraft -&gt;</t>
  </si>
  <si>
    <t>N</t>
  </si>
  <si>
    <t>area of base -&gt;</t>
  </si>
  <si>
    <t>m^2</t>
  </si>
  <si>
    <t>Cushion pressure(Pc)</t>
  </si>
  <si>
    <t>Pa</t>
  </si>
  <si>
    <t>Escape Velocity(Ve)</t>
  </si>
  <si>
    <t>m/s</t>
  </si>
  <si>
    <t>perimeter of cushion -&gt;</t>
  </si>
  <si>
    <t>m</t>
  </si>
  <si>
    <t>Expect hoverving gap -&gt;</t>
  </si>
  <si>
    <t>Escape Area (Ae)</t>
  </si>
  <si>
    <t xml:space="preserve">Volume Air lost </t>
  </si>
  <si>
    <t>cubic m/s</t>
  </si>
  <si>
    <t>CFM</t>
  </si>
  <si>
    <t>1 cfm = 0.00047194745 cubic m/s</t>
  </si>
  <si>
    <t xml:space="preserve">static pressure </t>
  </si>
  <si>
    <t xml:space="preserve">Calculate the total CFM that one fan needs to provide for thrust and lift: </t>
  </si>
  <si>
    <t>split level -&gt;</t>
  </si>
  <si>
    <t>%</t>
  </si>
  <si>
    <t>Require total volum Air Lost</t>
  </si>
  <si>
    <t>&lt;- fan need to provide this must for whole system</t>
  </si>
  <si>
    <t>Obtained lift from datasheet</t>
  </si>
  <si>
    <t>pressure in inH20 -&gt;</t>
  </si>
  <si>
    <t>inH20</t>
  </si>
  <si>
    <t>Volume Air Lost of Fan -&gt;</t>
  </si>
  <si>
    <t xml:space="preserve">Obtained lift </t>
  </si>
  <si>
    <t xml:space="preserve">Thrust </t>
  </si>
  <si>
    <t>area of fan used for thrust-&gt;</t>
  </si>
  <si>
    <t>static pressure -&gt;</t>
  </si>
  <si>
    <t>Thrust force</t>
  </si>
  <si>
    <t>Determine Velocity ( power = force * velocity)</t>
  </si>
  <si>
    <t>power of fan -&gt;</t>
  </si>
  <si>
    <t>W</t>
  </si>
  <si>
    <t xml:space="preserve">force of thrust </t>
  </si>
  <si>
    <t>max acceleration (assume no friction)</t>
  </si>
  <si>
    <t>m/s^2</t>
  </si>
  <si>
    <t xml:space="preserve">Max airflow </t>
  </si>
  <si>
    <t>m^3/s</t>
  </si>
  <si>
    <t xml:space="preserve">area of fan </t>
  </si>
  <si>
    <t xml:space="preserve">(AirVelocity) </t>
  </si>
  <si>
    <t>(deltamass/ delta t)</t>
  </si>
  <si>
    <t>kg/s</t>
  </si>
  <si>
    <t xml:space="preserve">Fthrust </t>
  </si>
  <si>
    <t>max acceleration</t>
  </si>
  <si>
    <t>m^2/s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</si>
</sst>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A4" sqref="A4"/>
    </sheetView>
  </sheetViews>
  <sheetFormatPr defaultRowHeight="15"/>
  <cols>
    <col min="1" max="1" width="66.42578125" bestFit="1" customWidth="1"/>
    <col min="2" max="2" width="12.140625" bestFit="1" customWidth="1"/>
    <col min="3" max="3" width="46.140625" bestFit="1" customWidth="1"/>
    <col min="4" max="4" width="8.5703125" bestFit="1" customWidth="1"/>
    <col min="5" max="5" width="15.28515625" bestFit="1" customWidth="1"/>
    <col min="6" max="6" width="25.85546875" bestFit="1" customWidth="1"/>
    <col min="7" max="7" width="23.85546875" bestFit="1" customWidth="1"/>
  </cols>
  <sheetData>
    <row r="1" spans="1:7">
      <c r="A1" s="1" t="s">
        <v>0</v>
      </c>
      <c r="B1" s="2"/>
      <c r="C1" s="2"/>
      <c r="D1" s="2"/>
      <c r="E1" s="2"/>
      <c r="F1" s="2"/>
      <c r="G1" s="3"/>
    </row>
    <row r="2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7" ht="15.75">
      <c r="A3" s="7" t="s">
        <v>8</v>
      </c>
      <c r="B3" s="5">
        <v>197.77</v>
      </c>
      <c r="C3" s="5" t="s">
        <v>9</v>
      </c>
      <c r="D3" s="5">
        <v>2</v>
      </c>
      <c r="E3" s="5">
        <f>D3*B3</f>
        <v>395.54</v>
      </c>
      <c r="F3" s="5">
        <v>530</v>
      </c>
      <c r="G3" s="6">
        <f t="shared" ref="G3:G10" si="0">F3*D3</f>
        <v>1060</v>
      </c>
    </row>
    <row r="4" spans="1:7">
      <c r="A4" s="4" t="s">
        <v>10</v>
      </c>
      <c r="B4" s="5">
        <v>28.5</v>
      </c>
      <c r="C4" s="5" t="s">
        <v>11</v>
      </c>
      <c r="D4" s="5">
        <v>3</v>
      </c>
      <c r="E4" s="5">
        <f t="shared" ref="E4:E10" si="1">D4*B4</f>
        <v>85.5</v>
      </c>
      <c r="F4" s="5">
        <v>0</v>
      </c>
      <c r="G4" s="6">
        <f t="shared" si="0"/>
        <v>0</v>
      </c>
    </row>
    <row r="5" spans="1:7">
      <c r="A5" s="4" t="s">
        <v>12</v>
      </c>
      <c r="B5" s="5">
        <v>148</v>
      </c>
      <c r="C5" s="5" t="s">
        <v>13</v>
      </c>
      <c r="D5" s="5">
        <v>1</v>
      </c>
      <c r="E5" s="5">
        <f t="shared" si="1"/>
        <v>148</v>
      </c>
      <c r="F5" s="5">
        <v>380</v>
      </c>
      <c r="G5" s="6">
        <f t="shared" si="0"/>
        <v>380</v>
      </c>
    </row>
    <row r="6" spans="1:7">
      <c r="A6" s="4" t="s">
        <v>14</v>
      </c>
      <c r="B6" s="5">
        <v>16</v>
      </c>
      <c r="C6" s="5" t="s">
        <v>15</v>
      </c>
      <c r="D6" s="5">
        <v>1</v>
      </c>
      <c r="E6" s="5">
        <f t="shared" si="1"/>
        <v>16</v>
      </c>
      <c r="F6" s="5">
        <v>7.15</v>
      </c>
      <c r="G6" s="6">
        <f t="shared" si="0"/>
        <v>7.15</v>
      </c>
    </row>
    <row r="7" spans="1:7">
      <c r="A7" s="4" t="s">
        <v>16</v>
      </c>
      <c r="B7" s="5">
        <v>4.8</v>
      </c>
      <c r="C7" s="5" t="s">
        <v>17</v>
      </c>
      <c r="D7" s="5">
        <v>1</v>
      </c>
      <c r="E7" s="5">
        <f t="shared" si="1"/>
        <v>4.8</v>
      </c>
      <c r="F7" s="5">
        <v>33</v>
      </c>
      <c r="G7" s="6">
        <f t="shared" si="0"/>
        <v>33</v>
      </c>
    </row>
    <row r="8" spans="1:7">
      <c r="A8" s="4" t="s">
        <v>18</v>
      </c>
      <c r="B8" s="5">
        <v>4.3</v>
      </c>
      <c r="C8" s="5" t="s">
        <v>19</v>
      </c>
      <c r="D8" s="5">
        <v>2</v>
      </c>
      <c r="E8" s="5">
        <f t="shared" si="1"/>
        <v>8.6</v>
      </c>
      <c r="F8" s="5">
        <v>2</v>
      </c>
      <c r="G8" s="6">
        <f t="shared" si="0"/>
        <v>4</v>
      </c>
    </row>
    <row r="9" spans="1:7">
      <c r="A9" s="4" t="s">
        <v>20</v>
      </c>
      <c r="B9" s="5">
        <v>43</v>
      </c>
      <c r="C9" s="5" t="s">
        <v>21</v>
      </c>
      <c r="D9" s="5">
        <v>1</v>
      </c>
      <c r="E9" s="5">
        <f t="shared" si="1"/>
        <v>43</v>
      </c>
      <c r="F9" s="5">
        <v>180</v>
      </c>
      <c r="G9" s="6">
        <f t="shared" si="0"/>
        <v>180</v>
      </c>
    </row>
    <row r="10" spans="1:7">
      <c r="A10" s="4" t="s">
        <v>22</v>
      </c>
      <c r="B10" s="8">
        <v>38.9</v>
      </c>
      <c r="C10" s="5" t="s">
        <v>23</v>
      </c>
      <c r="D10" s="5">
        <v>1</v>
      </c>
      <c r="E10" s="5">
        <f t="shared" si="1"/>
        <v>38.9</v>
      </c>
      <c r="F10" s="5">
        <v>0</v>
      </c>
      <c r="G10" s="6">
        <f t="shared" si="0"/>
        <v>0</v>
      </c>
    </row>
    <row r="11" spans="1:7">
      <c r="A11" s="4"/>
      <c r="B11" s="5"/>
      <c r="C11" s="5"/>
      <c r="D11" s="5"/>
      <c r="E11" s="5"/>
      <c r="F11" s="5"/>
      <c r="G11" s="6"/>
    </row>
    <row r="12" spans="1:7">
      <c r="A12" s="4"/>
      <c r="B12" s="5"/>
      <c r="C12" s="5"/>
      <c r="D12" s="5"/>
      <c r="E12" s="5"/>
      <c r="F12" s="5" t="s">
        <v>24</v>
      </c>
      <c r="G12" s="6">
        <f>SUM(G3:G10)</f>
        <v>1664.15</v>
      </c>
    </row>
    <row r="13" spans="1:7">
      <c r="A13" s="4" t="s">
        <v>25</v>
      </c>
      <c r="B13" s="5">
        <f>SUM(E3:E10)</f>
        <v>740.33999999999992</v>
      </c>
      <c r="C13" s="5"/>
      <c r="D13" s="5"/>
      <c r="E13" s="5"/>
      <c r="F13" s="5"/>
      <c r="G13" s="6"/>
    </row>
    <row r="14" spans="1:7">
      <c r="A14" s="4" t="s">
        <v>26</v>
      </c>
      <c r="B14" s="5">
        <v>0</v>
      </c>
      <c r="C14" s="5"/>
      <c r="D14" s="5"/>
      <c r="E14" s="5"/>
      <c r="F14" s="5" t="s">
        <v>27</v>
      </c>
      <c r="G14" s="6">
        <f>460/G12</f>
        <v>0.27641739025929152</v>
      </c>
    </row>
    <row r="15" spans="1:7">
      <c r="A15" s="4"/>
      <c r="B15" s="8"/>
      <c r="C15" s="5"/>
      <c r="D15" s="5"/>
      <c r="E15" s="5"/>
      <c r="F15" s="5" t="s">
        <v>28</v>
      </c>
      <c r="G15" s="6">
        <f>G14*60</f>
        <v>16.58504341555749</v>
      </c>
    </row>
    <row r="16" spans="1:7">
      <c r="A16" s="4" t="s">
        <v>29</v>
      </c>
      <c r="B16" s="5">
        <f>500</f>
        <v>500</v>
      </c>
      <c r="C16" s="5"/>
      <c r="D16" s="5"/>
      <c r="E16" s="5"/>
      <c r="F16" s="5"/>
      <c r="G16" s="6"/>
    </row>
    <row r="17" spans="1:7">
      <c r="A17" s="4"/>
      <c r="B17" s="5"/>
      <c r="C17" s="5"/>
      <c r="D17" s="5"/>
      <c r="E17" s="5"/>
      <c r="F17" s="5"/>
      <c r="G17" s="6"/>
    </row>
    <row r="18" spans="1:7">
      <c r="A18" s="4"/>
      <c r="B18" s="5"/>
      <c r="C18" s="5"/>
      <c r="D18" s="5"/>
      <c r="E18" s="5"/>
      <c r="F18" s="5"/>
      <c r="G18" s="6"/>
    </row>
    <row r="19" spans="1:7">
      <c r="A19" s="4"/>
      <c r="B19" s="5"/>
      <c r="C19" s="5"/>
      <c r="D19" s="5"/>
      <c r="E19" s="5"/>
      <c r="F19" s="5"/>
      <c r="G19" s="6"/>
    </row>
    <row r="20" spans="1:7">
      <c r="A20" s="4" t="s">
        <v>30</v>
      </c>
      <c r="B20" s="5"/>
      <c r="C20" s="5" t="s">
        <v>31</v>
      </c>
      <c r="D20" s="5"/>
      <c r="E20" s="5"/>
      <c r="F20" s="5"/>
      <c r="G20" s="6"/>
    </row>
    <row r="21" spans="1:7">
      <c r="A21" s="4" t="s">
        <v>32</v>
      </c>
      <c r="B21" s="5">
        <f xml:space="preserve"> B16 /1000 * 9.81</f>
        <v>4.9050000000000002</v>
      </c>
      <c r="C21" s="5" t="s">
        <v>33</v>
      </c>
      <c r="D21" s="5"/>
      <c r="E21" s="5"/>
      <c r="F21" s="5"/>
      <c r="G21" s="6"/>
    </row>
    <row r="22" spans="1:7">
      <c r="A22" s="4" t="s">
        <v>34</v>
      </c>
      <c r="B22" s="5">
        <v>5.8000000000000003E-2</v>
      </c>
      <c r="C22" s="5" t="s">
        <v>35</v>
      </c>
      <c r="D22" s="5"/>
      <c r="E22" s="5"/>
      <c r="F22" s="5"/>
      <c r="G22" s="6"/>
    </row>
    <row r="23" spans="1:7">
      <c r="A23" s="4" t="s">
        <v>36</v>
      </c>
      <c r="B23" s="5">
        <f>B21/B22</f>
        <v>84.568965517241381</v>
      </c>
      <c r="C23" s="5" t="s">
        <v>37</v>
      </c>
      <c r="D23" s="5"/>
      <c r="E23" s="5"/>
      <c r="F23" s="5"/>
      <c r="G23" s="6"/>
    </row>
    <row r="24" spans="1:7">
      <c r="A24" s="4" t="s">
        <v>38</v>
      </c>
      <c r="B24" s="5">
        <f>SQRT(2*B23/1.18)</f>
        <v>11.972352721593181</v>
      </c>
      <c r="C24" s="5" t="s">
        <v>39</v>
      </c>
      <c r="D24" s="5"/>
      <c r="E24" s="5"/>
      <c r="F24" s="5"/>
      <c r="G24" s="6"/>
    </row>
    <row r="25" spans="1:7">
      <c r="A25" s="4" t="s">
        <v>40</v>
      </c>
      <c r="B25" s="5">
        <v>0.95</v>
      </c>
      <c r="C25" s="5" t="s">
        <v>41</v>
      </c>
      <c r="D25" s="5"/>
      <c r="E25" s="5"/>
      <c r="F25" s="5"/>
      <c r="G25" s="6"/>
    </row>
    <row r="26" spans="1:7">
      <c r="A26" s="4" t="s">
        <v>42</v>
      </c>
      <c r="B26" s="5">
        <v>3.0000000000000001E-3</v>
      </c>
      <c r="C26" s="5" t="s">
        <v>41</v>
      </c>
      <c r="D26" s="5"/>
      <c r="E26" s="5"/>
      <c r="F26" s="5"/>
      <c r="G26" s="6"/>
    </row>
    <row r="27" spans="1:7">
      <c r="A27" s="4" t="s">
        <v>43</v>
      </c>
      <c r="B27" s="5">
        <f>B25*B26</f>
        <v>2.8500000000000001E-3</v>
      </c>
      <c r="C27" s="5" t="s">
        <v>35</v>
      </c>
      <c r="D27" s="5"/>
      <c r="E27" s="5"/>
      <c r="F27" s="5"/>
      <c r="G27" s="6"/>
    </row>
    <row r="28" spans="1:7">
      <c r="A28" s="4" t="s">
        <v>44</v>
      </c>
      <c r="B28" s="5">
        <f>B24*B27</f>
        <v>3.4121205256540568E-2</v>
      </c>
      <c r="C28" s="5" t="s">
        <v>45</v>
      </c>
      <c r="D28" s="5"/>
      <c r="E28" s="5"/>
      <c r="F28" s="5"/>
      <c r="G28" s="6"/>
    </row>
    <row r="29" spans="1:7">
      <c r="A29" s="4" t="s">
        <v>46</v>
      </c>
      <c r="B29" s="5">
        <f>B28/0.00047194745</f>
        <v>72.298738464506101</v>
      </c>
      <c r="C29" s="5" t="s">
        <v>47</v>
      </c>
      <c r="D29" s="5"/>
      <c r="E29" s="5"/>
      <c r="F29" s="5"/>
      <c r="G29" s="6"/>
    </row>
    <row r="30" spans="1:7">
      <c r="A30" s="4" t="s">
        <v>48</v>
      </c>
      <c r="B30" s="5">
        <f>B23</f>
        <v>84.568965517241381</v>
      </c>
      <c r="C30" s="5" t="s">
        <v>37</v>
      </c>
      <c r="D30" s="5"/>
      <c r="E30" s="5"/>
      <c r="F30" s="5"/>
      <c r="G30" s="6"/>
    </row>
    <row r="31" spans="1:7">
      <c r="A31" s="4"/>
      <c r="B31" s="5"/>
      <c r="C31" s="5"/>
      <c r="D31" s="5"/>
      <c r="E31" s="5"/>
      <c r="F31" s="5"/>
      <c r="G31" s="6"/>
    </row>
    <row r="32" spans="1:7">
      <c r="A32" s="4" t="s">
        <v>49</v>
      </c>
      <c r="B32" s="5"/>
      <c r="C32" s="5"/>
      <c r="D32" s="5"/>
      <c r="E32" s="5"/>
      <c r="F32" s="5"/>
      <c r="G32" s="6"/>
    </row>
    <row r="33" spans="1:7">
      <c r="A33" s="4" t="s">
        <v>50</v>
      </c>
      <c r="B33" s="5">
        <v>0</v>
      </c>
      <c r="C33" s="5" t="s">
        <v>51</v>
      </c>
      <c r="D33" s="5"/>
      <c r="E33" s="5"/>
      <c r="F33" s="5"/>
      <c r="G33" s="6"/>
    </row>
    <row r="34" spans="1:7">
      <c r="A34" s="4" t="s">
        <v>52</v>
      </c>
      <c r="B34" s="5">
        <f>(B33/10)*B28</f>
        <v>0</v>
      </c>
      <c r="C34" s="5" t="s">
        <v>45</v>
      </c>
      <c r="D34" s="5"/>
      <c r="E34" s="5"/>
      <c r="F34" s="5"/>
      <c r="G34" s="6"/>
    </row>
    <row r="35" spans="1:7">
      <c r="A35" s="4" t="s">
        <v>46</v>
      </c>
      <c r="B35" s="5">
        <f>B34/0.00047194745</f>
        <v>0</v>
      </c>
      <c r="C35" s="5" t="s">
        <v>53</v>
      </c>
      <c r="D35" s="5"/>
      <c r="E35" s="5"/>
      <c r="F35" s="5"/>
      <c r="G35" s="6"/>
    </row>
    <row r="36" spans="1:7">
      <c r="A36" s="4"/>
      <c r="B36" s="5"/>
      <c r="C36" s="5"/>
      <c r="D36" s="5"/>
      <c r="E36" s="5"/>
      <c r="F36" s="5"/>
      <c r="G36" s="6"/>
    </row>
    <row r="37" spans="1:7">
      <c r="A37" s="4" t="s">
        <v>54</v>
      </c>
      <c r="B37" s="5"/>
      <c r="C37" s="5"/>
      <c r="D37" s="5"/>
      <c r="E37" s="5"/>
      <c r="F37" s="5"/>
      <c r="G37" s="6"/>
    </row>
    <row r="38" spans="1:7">
      <c r="A38" s="4" t="s">
        <v>55</v>
      </c>
      <c r="B38" s="5">
        <f>B23*0.00401865</f>
        <v>0.33985307327586212</v>
      </c>
      <c r="C38" s="5" t="s">
        <v>56</v>
      </c>
      <c r="D38" s="5"/>
      <c r="E38" s="5"/>
      <c r="F38" s="5"/>
      <c r="G38" s="6"/>
    </row>
    <row r="39" spans="1:7">
      <c r="A39" s="4" t="s">
        <v>57</v>
      </c>
      <c r="B39" s="5">
        <f>0.7/60</f>
        <v>1.1666666666666665E-2</v>
      </c>
      <c r="C39" s="5" t="s">
        <v>45</v>
      </c>
      <c r="D39" s="5"/>
      <c r="E39" s="5"/>
      <c r="F39" s="5"/>
      <c r="G39" s="6"/>
    </row>
    <row r="40" spans="1:7">
      <c r="A40" s="4" t="s">
        <v>58</v>
      </c>
      <c r="B40" s="5">
        <f xml:space="preserve"> B39 / (B25*B24)</f>
        <v>1.0257550909134718E-3</v>
      </c>
      <c r="C40" s="5" t="s">
        <v>41</v>
      </c>
      <c r="D40" s="5"/>
      <c r="E40" s="5"/>
      <c r="F40" s="5"/>
      <c r="G40" s="6"/>
    </row>
    <row r="41" spans="1:7">
      <c r="A41" s="4"/>
      <c r="B41" s="5"/>
      <c r="C41" s="5"/>
      <c r="D41" s="5"/>
      <c r="E41" s="5"/>
      <c r="F41" s="5"/>
      <c r="G41" s="6"/>
    </row>
    <row r="42" spans="1:7">
      <c r="A42" s="4" t="s">
        <v>59</v>
      </c>
      <c r="B42" s="5"/>
      <c r="C42" s="5"/>
      <c r="D42" s="5"/>
      <c r="E42" s="5"/>
      <c r="F42" s="5"/>
      <c r="G42" s="6"/>
    </row>
    <row r="43" spans="1:7">
      <c r="A43" s="4" t="s">
        <v>60</v>
      </c>
      <c r="B43" s="5">
        <f>0.12*0.12</f>
        <v>1.44E-2</v>
      </c>
      <c r="C43" s="5" t="s">
        <v>35</v>
      </c>
      <c r="D43" s="5"/>
      <c r="E43" s="5"/>
      <c r="F43" s="5"/>
      <c r="G43" s="6"/>
    </row>
    <row r="44" spans="1:7">
      <c r="A44" s="4" t="s">
        <v>61</v>
      </c>
      <c r="B44" s="5">
        <v>107.1</v>
      </c>
      <c r="C44" s="5" t="s">
        <v>37</v>
      </c>
      <c r="D44" s="5"/>
      <c r="E44" s="5"/>
      <c r="F44" s="5"/>
      <c r="G44" s="6"/>
    </row>
    <row r="45" spans="1:7">
      <c r="A45" s="4" t="s">
        <v>62</v>
      </c>
      <c r="B45" s="5">
        <f>B43*B44</f>
        <v>1.5422399999999998</v>
      </c>
      <c r="C45" s="5" t="s">
        <v>33</v>
      </c>
      <c r="D45" s="5"/>
      <c r="E45" s="5"/>
      <c r="F45" s="5"/>
      <c r="G45" s="6"/>
    </row>
    <row r="46" spans="1:7">
      <c r="A46" s="4"/>
      <c r="B46" s="5"/>
      <c r="C46" s="5"/>
      <c r="D46" s="5"/>
      <c r="E46" s="5"/>
      <c r="F46" s="5"/>
      <c r="G46" s="6"/>
    </row>
    <row r="47" spans="1:7">
      <c r="A47" s="4" t="s">
        <v>63</v>
      </c>
      <c r="B47" s="5"/>
      <c r="C47" s="5"/>
      <c r="D47" s="5"/>
      <c r="E47" s="5"/>
      <c r="F47" s="5"/>
      <c r="G47" s="6"/>
    </row>
    <row r="48" spans="1:7">
      <c r="A48" s="4" t="s">
        <v>64</v>
      </c>
      <c r="B48" s="5">
        <v>6.36</v>
      </c>
      <c r="C48" s="5" t="s">
        <v>65</v>
      </c>
      <c r="D48" s="5"/>
      <c r="E48" s="5"/>
      <c r="F48" s="5"/>
      <c r="G48" s="6"/>
    </row>
    <row r="49" spans="1:7">
      <c r="A49" s="4" t="s">
        <v>66</v>
      </c>
      <c r="B49" s="5">
        <f>B45</f>
        <v>1.5422399999999998</v>
      </c>
      <c r="C49" s="5" t="s">
        <v>33</v>
      </c>
      <c r="D49" s="5"/>
      <c r="E49" s="5"/>
      <c r="F49" s="5"/>
      <c r="G49" s="6"/>
    </row>
    <row r="50" spans="1:7">
      <c r="A50" s="9" t="s">
        <v>67</v>
      </c>
      <c r="B50" s="10">
        <f>B49/(B13/1000)</f>
        <v>2.0831509846827134</v>
      </c>
      <c r="C50" s="10" t="s">
        <v>68</v>
      </c>
      <c r="D50" s="10"/>
      <c r="E50" s="10"/>
      <c r="F50" s="10"/>
      <c r="G50" s="11"/>
    </row>
    <row r="51" spans="1:7">
      <c r="A51" s="4"/>
      <c r="B51" s="5"/>
      <c r="C51" s="5"/>
      <c r="D51" s="5"/>
      <c r="E51" s="5"/>
      <c r="F51" s="5"/>
      <c r="G51" s="6"/>
    </row>
    <row r="52" spans="1:7">
      <c r="A52" s="4" t="s">
        <v>69</v>
      </c>
      <c r="B52" s="5">
        <f>3.2/60</f>
        <v>5.3333333333333337E-2</v>
      </c>
      <c r="C52" s="5" t="s">
        <v>70</v>
      </c>
      <c r="D52" s="5"/>
      <c r="E52" s="5"/>
      <c r="F52" s="5"/>
      <c r="G52" s="6"/>
    </row>
    <row r="53" spans="1:7">
      <c r="A53" s="4" t="s">
        <v>71</v>
      </c>
      <c r="B53" s="5">
        <f xml:space="preserve"> PI() * POWER(0.06,2)</f>
        <v>1.1309733552923255E-2</v>
      </c>
      <c r="C53" s="5" t="s">
        <v>35</v>
      </c>
      <c r="D53" s="5"/>
      <c r="E53" s="5"/>
      <c r="F53" s="5"/>
      <c r="G53" s="6"/>
    </row>
    <row r="54" spans="1:7">
      <c r="A54" s="4" t="s">
        <v>72</v>
      </c>
      <c r="B54" s="5">
        <f>B52/B53</f>
        <v>4.7157020175376401</v>
      </c>
      <c r="C54" s="5" t="s">
        <v>39</v>
      </c>
      <c r="D54" s="5"/>
      <c r="E54" s="5"/>
      <c r="F54" s="5"/>
      <c r="G54" s="6"/>
    </row>
    <row r="55" spans="1:7">
      <c r="A55" s="4" t="s">
        <v>73</v>
      </c>
      <c r="B55" s="5">
        <f>B52 * 1.2</f>
        <v>6.4000000000000001E-2</v>
      </c>
      <c r="C55" s="5" t="s">
        <v>74</v>
      </c>
      <c r="D55" s="5"/>
      <c r="E55" s="5"/>
      <c r="F55" s="5"/>
      <c r="G55" s="6"/>
    </row>
    <row r="56" spans="1:7">
      <c r="A56" s="4" t="s">
        <v>75</v>
      </c>
      <c r="B56" s="5">
        <f xml:space="preserve"> B54*B55</f>
        <v>0.30180492912240897</v>
      </c>
      <c r="C56" s="5" t="s">
        <v>33</v>
      </c>
      <c r="D56" s="5"/>
      <c r="E56" s="5"/>
      <c r="F56" s="5"/>
      <c r="G56" s="6"/>
    </row>
    <row r="57" spans="1:7">
      <c r="A57" s="4" t="s">
        <v>76</v>
      </c>
      <c r="B57" s="5">
        <f>B56/(B13/1000)</f>
        <v>0.40765719685875274</v>
      </c>
      <c r="C57" s="5" t="s">
        <v>77</v>
      </c>
      <c r="D57" s="5"/>
      <c r="E57" s="5"/>
      <c r="F57" s="5"/>
      <c r="G5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2020-05-06T01:09:19Z</dcterms:created>
  <dcterms:modified xsi:type="dcterms:W3CDTF">2020-05-14T02:41:48Z</dcterms:modified>
  <cp:category/>
  <cp:contentStatus/>
</cp:coreProperties>
</file>